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daiya/Downloads/02-excel/"/>
    </mc:Choice>
  </mc:AlternateContent>
  <xr:revisionPtr revIDLastSave="0" documentId="13_ncr:1_{443FEE18-4EC8-6843-83B6-899320453379}" xr6:coauthVersionLast="47" xr6:coauthVersionMax="47" xr10:uidLastSave="{00000000-0000-0000-0000-000000000000}"/>
  <bookViews>
    <workbookView xWindow="0" yWindow="600" windowWidth="40960" windowHeight="22440" xr2:uid="{00000000-000D-0000-FFFF-FFFF00000000}"/>
  </bookViews>
  <sheets>
    <sheet name="FC관리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4" i="2" l="1"/>
  <c r="AG34" i="2" s="1"/>
  <c r="AC34" i="2" s="1"/>
  <c r="AD34" i="2"/>
  <c r="AB34" i="2"/>
  <c r="AA34" i="2" s="1"/>
  <c r="Y34" i="2" s="1"/>
  <c r="X34" i="2" s="1"/>
  <c r="V34" i="2"/>
  <c r="L34" i="2"/>
  <c r="K34" i="2"/>
  <c r="AF33" i="2"/>
  <c r="AG33" i="2" s="1"/>
  <c r="AD33" i="2"/>
  <c r="AB33" i="2"/>
  <c r="AA33" i="2" s="1"/>
  <c r="Y33" i="2" s="1"/>
  <c r="V33" i="2"/>
  <c r="L33" i="2"/>
  <c r="K33" i="2"/>
  <c r="AF32" i="2"/>
  <c r="AD32" i="2"/>
  <c r="AB32" i="2"/>
  <c r="AA32" i="2"/>
  <c r="Y32" i="2" s="1"/>
  <c r="Z32" i="2" s="1"/>
  <c r="W32" i="2" s="1"/>
  <c r="V32" i="2"/>
  <c r="L32" i="2"/>
  <c r="K32" i="2"/>
  <c r="AF31" i="2"/>
  <c r="AG31" i="2" s="1"/>
  <c r="AD31" i="2"/>
  <c r="AB31" i="2"/>
  <c r="AA31" i="2" s="1"/>
  <c r="Y31" i="2" s="1"/>
  <c r="V31" i="2"/>
  <c r="L31" i="2"/>
  <c r="K31" i="2"/>
  <c r="AF30" i="2"/>
  <c r="AG30" i="2" s="1"/>
  <c r="AD30" i="2"/>
  <c r="AB30" i="2"/>
  <c r="AA30" i="2"/>
  <c r="Y30" i="2" s="1"/>
  <c r="X30" i="2" s="1"/>
  <c r="V30" i="2"/>
  <c r="L30" i="2"/>
  <c r="K30" i="2"/>
  <c r="AF29" i="2"/>
  <c r="AE29" i="2" s="1"/>
  <c r="AD29" i="2"/>
  <c r="AB29" i="2"/>
  <c r="AA29" i="2" s="1"/>
  <c r="Y29" i="2" s="1"/>
  <c r="V29" i="2"/>
  <c r="L29" i="2"/>
  <c r="K29" i="2"/>
  <c r="AF28" i="2"/>
  <c r="AG28" i="2" s="1"/>
  <c r="AE28" i="2"/>
  <c r="AD28" i="2"/>
  <c r="AB28" i="2"/>
  <c r="AA28" i="2" s="1"/>
  <c r="Y28" i="2" s="1"/>
  <c r="V28" i="2"/>
  <c r="L28" i="2"/>
  <c r="K28" i="2"/>
  <c r="AF27" i="2"/>
  <c r="AG27" i="2" s="1"/>
  <c r="AC27" i="2" s="1"/>
  <c r="AD27" i="2"/>
  <c r="AB27" i="2"/>
  <c r="AA27" i="2" s="1"/>
  <c r="Y27" i="2" s="1"/>
  <c r="V27" i="2"/>
  <c r="L27" i="2"/>
  <c r="K27" i="2"/>
  <c r="AF26" i="2"/>
  <c r="AG26" i="2" s="1"/>
  <c r="AC26" i="2" s="1"/>
  <c r="AD26" i="2"/>
  <c r="AB26" i="2"/>
  <c r="AA26" i="2" s="1"/>
  <c r="Y26" i="2" s="1"/>
  <c r="X26" i="2" s="1"/>
  <c r="V26" i="2"/>
  <c r="L26" i="2"/>
  <c r="K26" i="2"/>
  <c r="AF25" i="2"/>
  <c r="AG25" i="2" s="1"/>
  <c r="AD25" i="2"/>
  <c r="AB25" i="2"/>
  <c r="AA25" i="2" s="1"/>
  <c r="Y25" i="2" s="1"/>
  <c r="Z25" i="2" s="1"/>
  <c r="W25" i="2" s="1"/>
  <c r="V25" i="2"/>
  <c r="L25" i="2"/>
  <c r="K25" i="2"/>
  <c r="AF24" i="2"/>
  <c r="AD24" i="2"/>
  <c r="AB24" i="2"/>
  <c r="AA24" i="2" s="1"/>
  <c r="Y24" i="2" s="1"/>
  <c r="V24" i="2"/>
  <c r="L24" i="2"/>
  <c r="K24" i="2"/>
  <c r="AF23" i="2"/>
  <c r="AG23" i="2" s="1"/>
  <c r="AD23" i="2"/>
  <c r="AB23" i="2"/>
  <c r="AA23" i="2" s="1"/>
  <c r="Y23" i="2" s="1"/>
  <c r="V23" i="2"/>
  <c r="L23" i="2"/>
  <c r="K23" i="2"/>
  <c r="AF22" i="2"/>
  <c r="AD22" i="2"/>
  <c r="AB22" i="2"/>
  <c r="AA22" i="2" s="1"/>
  <c r="Y22" i="2" s="1"/>
  <c r="X22" i="2" s="1"/>
  <c r="V22" i="2"/>
  <c r="L22" i="2"/>
  <c r="K22" i="2"/>
  <c r="AF21" i="2"/>
  <c r="AG21" i="2" s="1"/>
  <c r="AC21" i="2" s="1"/>
  <c r="AE21" i="2"/>
  <c r="AD21" i="2"/>
  <c r="AB21" i="2"/>
  <c r="AA21" i="2" s="1"/>
  <c r="Y21" i="2" s="1"/>
  <c r="V21" i="2"/>
  <c r="L21" i="2"/>
  <c r="K21" i="2"/>
  <c r="AF20" i="2"/>
  <c r="AG20" i="2" s="1"/>
  <c r="AD20" i="2"/>
  <c r="AB20" i="2"/>
  <c r="AA20" i="2" s="1"/>
  <c r="Y20" i="2" s="1"/>
  <c r="V20" i="2"/>
  <c r="L20" i="2"/>
  <c r="K20" i="2"/>
  <c r="AF19" i="2"/>
  <c r="AG19" i="2" s="1"/>
  <c r="AC19" i="2" s="1"/>
  <c r="AD19" i="2"/>
  <c r="AB19" i="2"/>
  <c r="AA19" i="2" s="1"/>
  <c r="Y19" i="2" s="1"/>
  <c r="V19" i="2"/>
  <c r="L19" i="2"/>
  <c r="K19" i="2"/>
  <c r="AF18" i="2"/>
  <c r="AG18" i="2" s="1"/>
  <c r="AD18" i="2"/>
  <c r="AB18" i="2"/>
  <c r="AA18" i="2" s="1"/>
  <c r="Y18" i="2" s="1"/>
  <c r="X18" i="2" s="1"/>
  <c r="V18" i="2"/>
  <c r="L18" i="2"/>
  <c r="K18" i="2"/>
  <c r="AF17" i="2"/>
  <c r="AG17" i="2" s="1"/>
  <c r="AD17" i="2"/>
  <c r="AB17" i="2"/>
  <c r="AA17" i="2" s="1"/>
  <c r="Y17" i="2" s="1"/>
  <c r="V17" i="2"/>
  <c r="L17" i="2"/>
  <c r="K17" i="2"/>
  <c r="AF16" i="2"/>
  <c r="AD16" i="2"/>
  <c r="AB16" i="2"/>
  <c r="AA16" i="2" s="1"/>
  <c r="Y16" i="2" s="1"/>
  <c r="Z16" i="2" s="1"/>
  <c r="W16" i="2" s="1"/>
  <c r="V16" i="2"/>
  <c r="L16" i="2"/>
  <c r="K16" i="2"/>
  <c r="AF15" i="2"/>
  <c r="AG15" i="2" s="1"/>
  <c r="AC15" i="2" s="1"/>
  <c r="AD15" i="2"/>
  <c r="AB15" i="2"/>
  <c r="AA15" i="2" s="1"/>
  <c r="Y15" i="2" s="1"/>
  <c r="V15" i="2"/>
  <c r="L15" i="2"/>
  <c r="K15" i="2"/>
  <c r="AF14" i="2"/>
  <c r="AD14" i="2"/>
  <c r="AB14" i="2"/>
  <c r="AA14" i="2" s="1"/>
  <c r="Y14" i="2" s="1"/>
  <c r="X14" i="2" s="1"/>
  <c r="V14" i="2"/>
  <c r="L14" i="2"/>
  <c r="K14" i="2"/>
  <c r="AF13" i="2"/>
  <c r="AG13" i="2" s="1"/>
  <c r="AC13" i="2" s="1"/>
  <c r="AE13" i="2"/>
  <c r="AD13" i="2"/>
  <c r="AB13" i="2"/>
  <c r="AA13" i="2" s="1"/>
  <c r="Y13" i="2" s="1"/>
  <c r="V13" i="2"/>
  <c r="L13" i="2"/>
  <c r="K13" i="2"/>
  <c r="AF12" i="2"/>
  <c r="AG12" i="2" s="1"/>
  <c r="AD12" i="2"/>
  <c r="AB12" i="2"/>
  <c r="AA12" i="2" s="1"/>
  <c r="Y12" i="2" s="1"/>
  <c r="V12" i="2"/>
  <c r="L12" i="2"/>
  <c r="K12" i="2"/>
  <c r="AF11" i="2"/>
  <c r="AG11" i="2" s="1"/>
  <c r="AC11" i="2" s="1"/>
  <c r="AD11" i="2"/>
  <c r="AB11" i="2"/>
  <c r="AA11" i="2"/>
  <c r="Y11" i="2" s="1"/>
  <c r="V11" i="2"/>
  <c r="L11" i="2"/>
  <c r="K11" i="2"/>
  <c r="AF10" i="2"/>
  <c r="AG10" i="2" s="1"/>
  <c r="AD10" i="2"/>
  <c r="AB10" i="2"/>
  <c r="AA10" i="2" s="1"/>
  <c r="Y10" i="2" s="1"/>
  <c r="X10" i="2" s="1"/>
  <c r="V10" i="2"/>
  <c r="L10" i="2"/>
  <c r="K10" i="2"/>
  <c r="AF9" i="2"/>
  <c r="AG9" i="2" s="1"/>
  <c r="AE9" i="2"/>
  <c r="AD9" i="2"/>
  <c r="AB9" i="2"/>
  <c r="AA9" i="2" s="1"/>
  <c r="Y9" i="2" s="1"/>
  <c r="V9" i="2"/>
  <c r="L9" i="2"/>
  <c r="K9" i="2"/>
  <c r="AF8" i="2"/>
  <c r="AD8" i="2"/>
  <c r="AB8" i="2"/>
  <c r="AA8" i="2" s="1"/>
  <c r="Y8" i="2" s="1"/>
  <c r="V8" i="2"/>
  <c r="L8" i="2"/>
  <c r="K8" i="2"/>
  <c r="AF7" i="2"/>
  <c r="AG7" i="2" s="1"/>
  <c r="AC7" i="2" s="1"/>
  <c r="AD7" i="2"/>
  <c r="AB7" i="2"/>
  <c r="AA7" i="2" s="1"/>
  <c r="Y7" i="2" s="1"/>
  <c r="V7" i="2"/>
  <c r="L7" i="2"/>
  <c r="K7" i="2"/>
  <c r="AF6" i="2"/>
  <c r="AG6" i="2" s="1"/>
  <c r="AD6" i="2"/>
  <c r="AB6" i="2"/>
  <c r="AA6" i="2" s="1"/>
  <c r="Y6" i="2" s="1"/>
  <c r="X6" i="2" s="1"/>
  <c r="V6" i="2"/>
  <c r="L6" i="2"/>
  <c r="K6" i="2"/>
  <c r="Z26" i="2" l="1"/>
  <c r="W26" i="2" s="1"/>
  <c r="AE17" i="2"/>
  <c r="AC18" i="2"/>
  <c r="Z34" i="2"/>
  <c r="W34" i="2" s="1"/>
  <c r="S13" i="2"/>
  <c r="X8" i="2"/>
  <c r="Z8" i="2"/>
  <c r="W8" i="2" s="1"/>
  <c r="AE23" i="2"/>
  <c r="AE25" i="2"/>
  <c r="AE27" i="2"/>
  <c r="S27" i="2" s="1"/>
  <c r="AG29" i="2"/>
  <c r="AC29" i="2" s="1"/>
  <c r="S29" i="2" s="1"/>
  <c r="AE31" i="2"/>
  <c r="AC10" i="2"/>
  <c r="AE12" i="2"/>
  <c r="AE11" i="2"/>
  <c r="S11" i="2" s="1"/>
  <c r="S21" i="2"/>
  <c r="AC25" i="2"/>
  <c r="S25" i="2" s="1"/>
  <c r="AC31" i="2"/>
  <c r="Z9" i="2"/>
  <c r="X9" i="2"/>
  <c r="Z24" i="2"/>
  <c r="W24" i="2" s="1"/>
  <c r="X24" i="2"/>
  <c r="Z33" i="2"/>
  <c r="W33" i="2" s="1"/>
  <c r="X33" i="2"/>
  <c r="Z17" i="2"/>
  <c r="U17" i="2" s="1"/>
  <c r="X17" i="2"/>
  <c r="AC33" i="2"/>
  <c r="AE10" i="2"/>
  <c r="AE18" i="2"/>
  <c r="S18" i="2" s="1"/>
  <c r="U26" i="2"/>
  <c r="R26" i="2" s="1"/>
  <c r="X32" i="2"/>
  <c r="AE19" i="2"/>
  <c r="S19" i="2" s="1"/>
  <c r="AE20" i="2"/>
  <c r="AE33" i="2"/>
  <c r="U25" i="2"/>
  <c r="AE7" i="2"/>
  <c r="S7" i="2" s="1"/>
  <c r="Z10" i="2"/>
  <c r="W10" i="2" s="1"/>
  <c r="Z18" i="2"/>
  <c r="W18" i="2" s="1"/>
  <c r="AC23" i="2"/>
  <c r="AE15" i="2"/>
  <c r="S15" i="2" s="1"/>
  <c r="X25" i="2"/>
  <c r="AE26" i="2"/>
  <c r="S26" i="2" s="1"/>
  <c r="X29" i="2"/>
  <c r="Z29" i="2"/>
  <c r="W29" i="2" s="1"/>
  <c r="Z23" i="2"/>
  <c r="W23" i="2" s="1"/>
  <c r="X23" i="2"/>
  <c r="X27" i="2"/>
  <c r="Z6" i="2"/>
  <c r="W6" i="2" s="1"/>
  <c r="AC9" i="2"/>
  <c r="S9" i="2" s="1"/>
  <c r="Z31" i="2"/>
  <c r="W31" i="2" s="1"/>
  <c r="X31" i="2"/>
  <c r="AE32" i="2"/>
  <c r="AG32" i="2"/>
  <c r="AC32" i="2" s="1"/>
  <c r="Z14" i="2"/>
  <c r="W14" i="2" s="1"/>
  <c r="U16" i="2"/>
  <c r="W17" i="2"/>
  <c r="Z20" i="2"/>
  <c r="W20" i="2" s="1"/>
  <c r="X20" i="2"/>
  <c r="AC30" i="2"/>
  <c r="AE30" i="2"/>
  <c r="AE24" i="2"/>
  <c r="AG24" i="2"/>
  <c r="AC24" i="2" s="1"/>
  <c r="AE16" i="2"/>
  <c r="AG16" i="2"/>
  <c r="AC16" i="2" s="1"/>
  <c r="X19" i="2"/>
  <c r="U32" i="2"/>
  <c r="X21" i="2"/>
  <c r="Z21" i="2"/>
  <c r="W21" i="2" s="1"/>
  <c r="AE22" i="2"/>
  <c r="Z27" i="2"/>
  <c r="W27" i="2" s="1"/>
  <c r="AE14" i="2"/>
  <c r="Z30" i="2"/>
  <c r="W30" i="2" s="1"/>
  <c r="X11" i="2"/>
  <c r="AG14" i="2"/>
  <c r="AC14" i="2" s="1"/>
  <c r="S14" i="2" s="1"/>
  <c r="AC17" i="2"/>
  <c r="S17" i="2" s="1"/>
  <c r="Z12" i="2"/>
  <c r="W12" i="2" s="1"/>
  <c r="X12" i="2"/>
  <c r="Z15" i="2"/>
  <c r="X15" i="2"/>
  <c r="AG22" i="2"/>
  <c r="AC22" i="2" s="1"/>
  <c r="X13" i="2"/>
  <c r="Z13" i="2"/>
  <c r="W13" i="2" s="1"/>
  <c r="Z19" i="2"/>
  <c r="W19" i="2" s="1"/>
  <c r="Z7" i="2"/>
  <c r="X7" i="2"/>
  <c r="AE8" i="2"/>
  <c r="AG8" i="2"/>
  <c r="AC8" i="2" s="1"/>
  <c r="AC6" i="2"/>
  <c r="AE6" i="2"/>
  <c r="Z11" i="2"/>
  <c r="W11" i="2" s="1"/>
  <c r="X16" i="2"/>
  <c r="Z22" i="2"/>
  <c r="W22" i="2" s="1"/>
  <c r="U24" i="2"/>
  <c r="R24" i="2" s="1"/>
  <c r="Z28" i="2"/>
  <c r="W28" i="2" s="1"/>
  <c r="X28" i="2"/>
  <c r="AC12" i="2"/>
  <c r="AC20" i="2"/>
  <c r="AC28" i="2"/>
  <c r="S28" i="2" s="1"/>
  <c r="AE34" i="2"/>
  <c r="S34" i="2" s="1"/>
  <c r="U34" i="2" l="1"/>
  <c r="R34" i="2" s="1"/>
  <c r="U33" i="2"/>
  <c r="R33" i="2" s="1"/>
  <c r="R32" i="2"/>
  <c r="S22" i="2"/>
  <c r="U8" i="2"/>
  <c r="R8" i="2" s="1"/>
  <c r="U28" i="2"/>
  <c r="R28" i="2" s="1"/>
  <c r="Q28" i="2" s="1"/>
  <c r="T28" i="2" s="1"/>
  <c r="Q26" i="2"/>
  <c r="T26" i="2" s="1"/>
  <c r="S8" i="2"/>
  <c r="S16" i="2"/>
  <c r="R17" i="2"/>
  <c r="Q17" i="2" s="1"/>
  <c r="T17" i="2" s="1"/>
  <c r="U18" i="2"/>
  <c r="R18" i="2" s="1"/>
  <c r="Q18" i="2" s="1"/>
  <c r="T18" i="2" s="1"/>
  <c r="S33" i="2"/>
  <c r="S12" i="2"/>
  <c r="S31" i="2"/>
  <c r="S10" i="2"/>
  <c r="S32" i="2"/>
  <c r="Q32" i="2" s="1"/>
  <c r="T32" i="2" s="1"/>
  <c r="R25" i="2"/>
  <c r="Q25" i="2" s="1"/>
  <c r="T25" i="2" s="1"/>
  <c r="S20" i="2"/>
  <c r="U11" i="2"/>
  <c r="R11" i="2" s="1"/>
  <c r="Q11" i="2" s="1"/>
  <c r="T11" i="2" s="1"/>
  <c r="S23" i="2"/>
  <c r="Q34" i="2"/>
  <c r="T34" i="2" s="1"/>
  <c r="Q33" i="2"/>
  <c r="T33" i="2" s="1"/>
  <c r="U21" i="2"/>
  <c r="U12" i="2"/>
  <c r="R12" i="2" s="1"/>
  <c r="Q12" i="2" s="1"/>
  <c r="T12" i="2" s="1"/>
  <c r="U23" i="2"/>
  <c r="R23" i="2" s="1"/>
  <c r="U22" i="2"/>
  <c r="R22" i="2" s="1"/>
  <c r="S30" i="2"/>
  <c r="S24" i="2"/>
  <c r="Q24" i="2" s="1"/>
  <c r="T24" i="2" s="1"/>
  <c r="U10" i="2"/>
  <c r="R10" i="2" s="1"/>
  <c r="S6" i="2"/>
  <c r="U6" i="2"/>
  <c r="R6" i="2" s="1"/>
  <c r="U31" i="2"/>
  <c r="R31" i="2" s="1"/>
  <c r="U29" i="2"/>
  <c r="R29" i="2" s="1"/>
  <c r="Q29" i="2" s="1"/>
  <c r="T29" i="2" s="1"/>
  <c r="U9" i="2"/>
  <c r="W9" i="2"/>
  <c r="W7" i="2"/>
  <c r="U7" i="2"/>
  <c r="R7" i="2" s="1"/>
  <c r="Q7" i="2" s="1"/>
  <c r="T7" i="2" s="1"/>
  <c r="U14" i="2"/>
  <c r="R14" i="2" s="1"/>
  <c r="Q14" i="2" s="1"/>
  <c r="T14" i="2" s="1"/>
  <c r="R21" i="2"/>
  <c r="Q21" i="2" s="1"/>
  <c r="T21" i="2" s="1"/>
  <c r="U20" i="2"/>
  <c r="R20" i="2" s="1"/>
  <c r="U27" i="2"/>
  <c r="R27" i="2" s="1"/>
  <c r="Q27" i="2" s="1"/>
  <c r="T27" i="2" s="1"/>
  <c r="W15" i="2"/>
  <c r="U15" i="2"/>
  <c r="U30" i="2"/>
  <c r="R30" i="2" s="1"/>
  <c r="U13" i="2"/>
  <c r="R13" i="2" s="1"/>
  <c r="Q13" i="2" s="1"/>
  <c r="T13" i="2" s="1"/>
  <c r="U19" i="2"/>
  <c r="R19" i="2" s="1"/>
  <c r="Q19" i="2" s="1"/>
  <c r="T19" i="2" s="1"/>
  <c r="R16" i="2"/>
  <c r="Q8" i="2" l="1"/>
  <c r="T8" i="2" s="1"/>
  <c r="Q16" i="2"/>
  <c r="T16" i="2" s="1"/>
  <c r="Q10" i="2"/>
  <c r="T10" i="2" s="1"/>
  <c r="Q22" i="2"/>
  <c r="T22" i="2" s="1"/>
  <c r="Q31" i="2"/>
  <c r="T31" i="2" s="1"/>
  <c r="Q6" i="2"/>
  <c r="T6" i="2" s="1"/>
  <c r="Q20" i="2"/>
  <c r="T20" i="2" s="1"/>
  <c r="Q23" i="2"/>
  <c r="T23" i="2" s="1"/>
  <c r="Q30" i="2"/>
  <c r="T30" i="2" s="1"/>
  <c r="R9" i="2"/>
  <c r="Q9" i="2" s="1"/>
  <c r="T9" i="2" s="1"/>
  <c r="R15" i="2"/>
  <c r="Q15" i="2" s="1"/>
  <c r="T1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4" authorId="0" shapeId="0" xr:uid="{00000000-0006-0000-0100-000001000000}">
      <text>
        <r>
          <rPr>
            <sz val="10"/>
            <color rgb="FF000000"/>
            <rFont val="Arial"/>
            <family val="2"/>
          </rPr>
          <t>6/11 1,000</t>
        </r>
        <r>
          <rPr>
            <sz val="10"/>
            <color rgb="FF000000"/>
            <rFont val="Arial"/>
            <family val="2"/>
          </rPr>
          <t>원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8/14 1,200</t>
        </r>
        <r>
          <rPr>
            <sz val="10"/>
            <color rgb="FF000000"/>
            <rFont val="Arial"/>
            <family val="2"/>
          </rPr>
          <t>원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25.03.12 1,400</t>
        </r>
        <r>
          <rPr>
            <sz val="10"/>
            <color rgb="FF000000"/>
            <rFont val="Arial"/>
            <family val="2"/>
          </rPr>
          <t>원</t>
        </r>
      </text>
    </comment>
  </commentList>
</comments>
</file>

<file path=xl/sharedStrings.xml><?xml version="1.0" encoding="utf-8"?>
<sst xmlns="http://schemas.openxmlformats.org/spreadsheetml/2006/main" count="97" uniqueCount="73">
  <si>
    <t>데이블 CPM</t>
  </si>
  <si>
    <t>lineDSP 타겟CPM 관리 시트</t>
  </si>
  <si>
    <t>데이블 단가</t>
  </si>
  <si>
    <t>업체 단가</t>
  </si>
  <si>
    <t>공헌이익 시트</t>
  </si>
  <si>
    <t>8만</t>
  </si>
  <si>
    <t>1,200원</t>
  </si>
  <si>
    <t>FC 금액</t>
  </si>
  <si>
    <t>날짜</t>
  </si>
  <si>
    <t>요청수</t>
  </si>
  <si>
    <t>데이블 응답수</t>
  </si>
  <si>
    <t>응답률</t>
  </si>
  <si>
    <t>패스백 호출수</t>
  </si>
  <si>
    <t>패스백 호출률</t>
  </si>
  <si>
    <t>데이블 패스백 노출수</t>
  </si>
  <si>
    <t>싱크 노출수</t>
  </si>
  <si>
    <t>유실분</t>
  </si>
  <si>
    <t>_x0008_RPM(OBI)</t>
  </si>
  <si>
    <t>RPM(대시보드)</t>
  </si>
  <si>
    <t>전체 MFR</t>
  </si>
  <si>
    <t>데이블 MFR</t>
  </si>
  <si>
    <t>싱크 MFR</t>
  </si>
  <si>
    <t>공헌이익</t>
  </si>
  <si>
    <t>데이블 공헌이익</t>
  </si>
  <si>
    <t>싱크 공헌이익</t>
  </si>
  <si>
    <t>전체 RPM(공헌이익 기준)</t>
  </si>
  <si>
    <t>데이블 FN 매출</t>
  </si>
  <si>
    <t>데이블 매체비</t>
  </si>
  <si>
    <t>데이블 APC</t>
  </si>
  <si>
    <t>데이블 서버비</t>
  </si>
  <si>
    <t>데이블 매체 매출</t>
  </si>
  <si>
    <t>데이블 광고 매출</t>
  </si>
  <si>
    <t>PB FN 매출</t>
  </si>
  <si>
    <t>PB 매체비</t>
  </si>
  <si>
    <t>PB 서버비</t>
  </si>
  <si>
    <t>PB 매체 매출</t>
  </si>
  <si>
    <t>PB 광고 매출</t>
  </si>
  <si>
    <t>2026-04-15 (수)</t>
  </si>
  <si>
    <t>2026-04-14 (화)</t>
  </si>
  <si>
    <t>2026-04-13 (월)</t>
  </si>
  <si>
    <t>2026-04-12 (일)</t>
  </si>
  <si>
    <t>2026-04-11 (토)</t>
  </si>
  <si>
    <t>2026-04-10 (금)</t>
  </si>
  <si>
    <t>2026-04-09 (목)</t>
  </si>
  <si>
    <t>2026-04-08 (수)</t>
  </si>
  <si>
    <t>2026-04-07 (화)</t>
  </si>
  <si>
    <t>2026-04-06 (월)</t>
  </si>
  <si>
    <t>2026-04-05 (일)</t>
  </si>
  <si>
    <t>2026-04-04 (토)</t>
  </si>
  <si>
    <t>2026-04-03 (금)</t>
  </si>
  <si>
    <t>2026-04-02 (목)</t>
  </si>
  <si>
    <t>2026-04-01 (수)</t>
  </si>
  <si>
    <t>2026-03-31 (화)</t>
  </si>
  <si>
    <t>2026-03-30 (월)</t>
  </si>
  <si>
    <t>2026-03-29 (일)</t>
  </si>
  <si>
    <t>2026-03-28 (토)</t>
  </si>
  <si>
    <t>2026-03-27 (금)</t>
  </si>
  <si>
    <t>2026-03-26 (목)</t>
  </si>
  <si>
    <t>2026-03-25 (수)</t>
  </si>
  <si>
    <t>2026-03-24 (화)</t>
  </si>
  <si>
    <t>2026-03-23 (월)</t>
  </si>
  <si>
    <t>2026-03-22 (일)</t>
  </si>
  <si>
    <t>2026-03-21 (토)</t>
  </si>
  <si>
    <t>2026-03-20 (금)</t>
  </si>
  <si>
    <t>2026-03-19 (목)</t>
  </si>
  <si>
    <t>2026-03-18 (수)</t>
  </si>
  <si>
    <t>데이블</t>
    <phoneticPr fontId="9" type="noConversion"/>
  </si>
  <si>
    <t>외부</t>
    <phoneticPr fontId="9" type="noConversion"/>
  </si>
  <si>
    <r>
      <rPr>
        <sz val="10"/>
        <color theme="1"/>
        <rFont val="Malgun Gothic"/>
        <family val="2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출처</t>
    </r>
    <phoneticPr fontId="9" type="noConversion"/>
  </si>
  <si>
    <t>모름 일단 비워두기</t>
    <phoneticPr fontId="9" type="noConversion"/>
  </si>
  <si>
    <t>계산</t>
  </si>
  <si>
    <t>계산</t>
    <phoneticPr fontId="9" type="noConversion"/>
  </si>
  <si>
    <r>
      <rPr>
        <sz val="10"/>
        <color theme="1"/>
        <rFont val="Malgun Gothic"/>
        <family val="2"/>
        <charset val="129"/>
      </rPr>
      <t>데이블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혹은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계산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</si>
</sst>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FFFFFF"/>
      <name val="Arial"/>
      <family val="2"/>
      <scheme val="minor"/>
    </font>
    <font>
      <b/>
      <sz val="10"/>
      <color rgb="FF980000"/>
      <name val="Arial"/>
      <family val="2"/>
      <scheme val="minor"/>
    </font>
    <font>
      <sz val="10"/>
      <color theme="1"/>
      <name val="Arial"/>
      <family val="2"/>
      <charset val="129"/>
    </font>
    <font>
      <sz val="10"/>
      <color rgb="FF000000"/>
      <name val="Malgun Gothic"/>
      <family val="2"/>
      <charset val="129"/>
    </font>
    <font>
      <sz val="8"/>
      <name val="Arial"/>
      <family val="3"/>
      <charset val="129"/>
      <scheme val="minor"/>
    </font>
    <font>
      <b/>
      <sz val="10"/>
      <color rgb="FF000000"/>
      <name val="Malgun Gothic"/>
      <family val="2"/>
      <charset val="129"/>
    </font>
    <font>
      <sz val="10"/>
      <color rgb="FFFFFFFF"/>
      <name val="Malgun Gothic"/>
      <family val="2"/>
      <charset val="129"/>
    </font>
    <font>
      <sz val="10"/>
      <color rgb="FF000000"/>
      <name val="Arial"/>
      <family val="2"/>
    </font>
    <font>
      <sz val="10"/>
      <color theme="1"/>
      <name val="Malgun Gothic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3" fillId="0" borderId="0" xfId="0" applyFont="1"/>
    <xf numFmtId="9" fontId="1" fillId="0" borderId="0" xfId="0" applyNumberFormat="1" applyFont="1"/>
    <xf numFmtId="0" fontId="1" fillId="0" borderId="0" xfId="0" applyFont="1" applyAlignment="1">
      <alignment horizontal="center"/>
    </xf>
    <xf numFmtId="0" fontId="5" fillId="2" borderId="0" xfId="0" applyFont="1" applyFill="1"/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3" fontId="6" fillId="2" borderId="0" xfId="0" applyNumberFormat="1" applyFont="1" applyFill="1" applyAlignment="1">
      <alignment horizontal="center"/>
    </xf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3" fontId="1" fillId="5" borderId="0" xfId="0" applyNumberFormat="1" applyFont="1" applyFill="1"/>
    <xf numFmtId="0" fontId="1" fillId="2" borderId="0" xfId="0" applyFont="1" applyFill="1"/>
    <xf numFmtId="3" fontId="1" fillId="2" borderId="0" xfId="0" applyNumberFormat="1" applyFont="1" applyFill="1"/>
    <xf numFmtId="0" fontId="1" fillId="3" borderId="0" xfId="0" applyFont="1" applyFill="1" applyAlignment="1">
      <alignment horizontal="center"/>
    </xf>
    <xf numFmtId="3" fontId="1" fillId="3" borderId="0" xfId="0" applyNumberFormat="1" applyFont="1" applyFill="1"/>
    <xf numFmtId="3" fontId="1" fillId="4" borderId="0" xfId="0" applyNumberFormat="1" applyFont="1" applyFill="1"/>
    <xf numFmtId="9" fontId="1" fillId="4" borderId="0" xfId="0" applyNumberFormat="1" applyFont="1" applyFill="1"/>
    <xf numFmtId="9" fontId="2" fillId="0" borderId="0" xfId="0" applyNumberFormat="1" applyFont="1" applyAlignment="1">
      <alignment horizontal="right"/>
    </xf>
    <xf numFmtId="3" fontId="2" fillId="4" borderId="0" xfId="0" applyNumberFormat="1" applyFont="1" applyFill="1" applyAlignment="1">
      <alignment horizontal="right"/>
    </xf>
    <xf numFmtId="3" fontId="2" fillId="0" borderId="0" xfId="0" applyNumberFormat="1" applyFont="1" applyAlignment="1">
      <alignment horizontal="right"/>
    </xf>
    <xf numFmtId="3" fontId="1" fillId="6" borderId="0" xfId="0" applyNumberFormat="1" applyFont="1" applyFill="1"/>
    <xf numFmtId="9" fontId="1" fillId="6" borderId="0" xfId="0" applyNumberFormat="1" applyFont="1" applyFill="1"/>
    <xf numFmtId="0" fontId="10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0" fontId="13" fillId="0" borderId="0" xfId="0" applyFont="1"/>
    <xf numFmtId="0" fontId="8" fillId="0" borderId="0" xfId="0" applyFont="1"/>
    <xf numFmtId="0" fontId="7" fillId="0" borderId="0" xfId="0" applyFont="1"/>
    <xf numFmtId="9" fontId="7" fillId="0" borderId="0" xfId="0" applyNumberFormat="1" applyFont="1"/>
    <xf numFmtId="9" fontId="13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ocs.google.com/spreadsheets/d/1_h1WeXO-0_3mZcbC3nhoG_ivo2vxvmsQpH5dPy46D8c/edit?gid=0" TargetMode="External"/><Relationship Id="rId1" Type="http://schemas.openxmlformats.org/officeDocument/2006/relationships/hyperlink" Target="https://docs.google.com/spreadsheets/d/1rG64OqgRV-bUICrBVoRqbc1ELDPfTKpyqsfq0EqdUf8/edit?gid=0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AG752"/>
  <sheetViews>
    <sheetView tabSelected="1" workbookViewId="0">
      <selection activeCell="K42" sqref="K42"/>
    </sheetView>
  </sheetViews>
  <sheetFormatPr baseColWidth="10" defaultColWidth="12.6640625" defaultRowHeight="15.75" customHeight="1" outlineLevelRow="1" x14ac:dyDescent="0.15"/>
  <cols>
    <col min="1" max="1" width="6.6640625" customWidth="1"/>
    <col min="9" max="9" width="18.6640625" bestFit="1" customWidth="1"/>
  </cols>
  <sheetData>
    <row r="1" spans="2:33" ht="13" x14ac:dyDescent="0.15">
      <c r="W1" s="2"/>
      <c r="Y1" s="2"/>
      <c r="Z1" s="2"/>
    </row>
    <row r="2" spans="2:33" ht="13" x14ac:dyDescent="0.15">
      <c r="B2" s="3" t="s">
        <v>1</v>
      </c>
      <c r="L2" s="4">
        <v>0.34</v>
      </c>
      <c r="O2" s="5" t="s">
        <v>2</v>
      </c>
      <c r="P2" s="5" t="s">
        <v>3</v>
      </c>
      <c r="Q2" s="3" t="s">
        <v>4</v>
      </c>
      <c r="W2" s="2"/>
      <c r="Y2" s="2"/>
      <c r="Z2" s="2"/>
    </row>
    <row r="3" spans="2:33" ht="13" x14ac:dyDescent="0.15">
      <c r="W3" s="2"/>
      <c r="Y3" s="2"/>
      <c r="Z3" s="2"/>
    </row>
    <row r="4" spans="2:33" ht="15" x14ac:dyDescent="0.2">
      <c r="B4" s="25"/>
      <c r="C4" s="26"/>
      <c r="D4" s="27"/>
      <c r="E4" s="6"/>
      <c r="F4" s="6"/>
      <c r="G4" s="6"/>
      <c r="H4" s="6"/>
      <c r="I4" s="6"/>
      <c r="J4" s="7" t="s">
        <v>5</v>
      </c>
      <c r="K4" s="6"/>
      <c r="L4" s="6"/>
      <c r="M4" s="6"/>
      <c r="N4" s="6"/>
      <c r="O4" s="8">
        <v>1300</v>
      </c>
      <c r="P4" s="8" t="s">
        <v>6</v>
      </c>
      <c r="Q4" s="6"/>
      <c r="R4" s="6"/>
      <c r="S4" s="9">
        <v>1300</v>
      </c>
      <c r="T4" s="9">
        <v>1200</v>
      </c>
      <c r="W4" s="2"/>
      <c r="Y4" s="2"/>
      <c r="Z4" s="2"/>
    </row>
    <row r="5" spans="2:33" ht="13" outlineLevel="1" x14ac:dyDescent="0.15">
      <c r="B5" s="10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0" t="s">
        <v>15</v>
      </c>
      <c r="K5" s="1" t="s">
        <v>16</v>
      </c>
      <c r="L5" s="11" t="s">
        <v>17</v>
      </c>
      <c r="M5" s="1" t="s">
        <v>18</v>
      </c>
      <c r="N5" s="11" t="s">
        <v>19</v>
      </c>
      <c r="O5" s="1" t="s">
        <v>20</v>
      </c>
      <c r="P5" s="1" t="s">
        <v>21</v>
      </c>
      <c r="Q5" s="11" t="s">
        <v>22</v>
      </c>
      <c r="R5" s="1" t="s">
        <v>23</v>
      </c>
      <c r="S5" s="1" t="s">
        <v>24</v>
      </c>
      <c r="T5" s="1" t="s">
        <v>25</v>
      </c>
      <c r="U5" s="12" t="s">
        <v>26</v>
      </c>
      <c r="V5" s="12" t="s">
        <v>27</v>
      </c>
      <c r="W5" s="13" t="s">
        <v>28</v>
      </c>
      <c r="X5" s="12" t="s">
        <v>29</v>
      </c>
      <c r="Y5" s="13" t="s">
        <v>30</v>
      </c>
      <c r="Z5" s="13" t="s">
        <v>31</v>
      </c>
      <c r="AA5" s="12" t="s">
        <v>0</v>
      </c>
      <c r="AB5" s="12" t="s">
        <v>20</v>
      </c>
      <c r="AC5" s="14" t="s">
        <v>32</v>
      </c>
      <c r="AD5" s="14" t="s">
        <v>33</v>
      </c>
      <c r="AE5" s="14" t="s">
        <v>34</v>
      </c>
      <c r="AF5" s="15" t="s">
        <v>35</v>
      </c>
      <c r="AG5" s="15" t="s">
        <v>36</v>
      </c>
    </row>
    <row r="6" spans="2:33" ht="13" outlineLevel="1" x14ac:dyDescent="0.15">
      <c r="B6" s="16">
        <v>230</v>
      </c>
      <c r="C6" s="1" t="s">
        <v>37</v>
      </c>
      <c r="D6" s="2">
        <v>100729</v>
      </c>
      <c r="E6" s="2">
        <v>62923</v>
      </c>
      <c r="F6" s="4">
        <v>0.62</v>
      </c>
      <c r="G6" s="2">
        <v>37806</v>
      </c>
      <c r="H6" s="4">
        <v>0.38</v>
      </c>
      <c r="I6" s="2">
        <v>0</v>
      </c>
      <c r="J6" s="17"/>
      <c r="K6" s="2">
        <f t="shared" ref="K6:K34" si="0">G6-J6-I6</f>
        <v>37806</v>
      </c>
      <c r="L6" s="18">
        <f t="shared" ref="L6:L34" si="1">M6/$L$2</f>
        <v>3879.411764705882</v>
      </c>
      <c r="M6" s="2">
        <v>1319</v>
      </c>
      <c r="N6" s="19">
        <v>0.43</v>
      </c>
      <c r="O6" s="4">
        <v>0.31</v>
      </c>
      <c r="P6" s="20">
        <v>1.08</v>
      </c>
      <c r="Q6" s="21">
        <f t="shared" ref="Q6:Q34" si="2">R6+S6</f>
        <v>158115.10501483871</v>
      </c>
      <c r="R6" s="22">
        <f t="shared" ref="R6:R34" si="3">U6-(V6+W6+X6)</f>
        <v>162108.93085483872</v>
      </c>
      <c r="S6" s="2">
        <f t="shared" ref="S6:S34" si="4">AC6-(AD6+AE6)</f>
        <v>-3993.8258399999977</v>
      </c>
      <c r="T6" s="2">
        <f t="shared" ref="T6:T35" si="5">Q6/D6*1000</f>
        <v>1569.7078797053352</v>
      </c>
      <c r="U6" s="23">
        <f t="shared" ref="U6:U34" si="6">Y6*0.75+Z6*0.25</f>
        <v>260572.26209677421</v>
      </c>
      <c r="V6" s="23">
        <f t="shared" ref="V6:V34" si="7">E6/1000*$S$4</f>
        <v>81799.900000000009</v>
      </c>
      <c r="W6" s="23">
        <f t="shared" ref="W6:W34" si="8">Z6*0.017</f>
        <v>4261.5109193548396</v>
      </c>
      <c r="X6" s="23">
        <f t="shared" ref="X6:X34" si="9">Y6*0.047</f>
        <v>12401.920322580647</v>
      </c>
      <c r="Y6" s="23">
        <f t="shared" ref="Y6:Y34" si="10">E6/1000*AA6</f>
        <v>263870.64516129036</v>
      </c>
      <c r="Z6" s="23">
        <f t="shared" ref="Z6:Z34" si="11">Y6*0.95</f>
        <v>250677.11290322582</v>
      </c>
      <c r="AA6" s="23">
        <f t="shared" ref="AA6:AA34" si="12">$S$4/AB6</f>
        <v>4193.5483870967746</v>
      </c>
      <c r="AB6" s="24">
        <f t="shared" ref="AB6:AB34" si="13">O6</f>
        <v>0.31</v>
      </c>
      <c r="AC6" s="23">
        <f t="shared" ref="AC6:AC34" si="14">AF6*0.75+AG6*0.25</f>
        <v>45367.199999999997</v>
      </c>
      <c r="AD6" s="23">
        <f t="shared" ref="AD6:AD34" si="15">G6/1000*$S$4</f>
        <v>49147.799999999996</v>
      </c>
      <c r="AE6" s="23">
        <f t="shared" ref="AE6:AE34" si="16">AF6*0.047*0.1</f>
        <v>213.22583999999998</v>
      </c>
      <c r="AF6" s="23">
        <f t="shared" ref="AF6:AF34" si="17">G6/1000*$T$4</f>
        <v>45367.199999999997</v>
      </c>
      <c r="AG6" s="23">
        <f t="shared" ref="AG6:AG34" si="18">AF6</f>
        <v>45367.199999999997</v>
      </c>
    </row>
    <row r="7" spans="2:33" ht="13" outlineLevel="1" x14ac:dyDescent="0.15">
      <c r="B7" s="16">
        <v>230</v>
      </c>
      <c r="C7" s="1" t="s">
        <v>38</v>
      </c>
      <c r="D7" s="2">
        <v>102015</v>
      </c>
      <c r="E7" s="2">
        <v>78287</v>
      </c>
      <c r="F7" s="4">
        <v>0.77</v>
      </c>
      <c r="G7" s="2">
        <v>23728</v>
      </c>
      <c r="H7" s="4">
        <v>0.23</v>
      </c>
      <c r="I7" s="2">
        <v>0</v>
      </c>
      <c r="J7" s="17">
        <v>22911</v>
      </c>
      <c r="K7" s="2">
        <f t="shared" si="0"/>
        <v>817</v>
      </c>
      <c r="L7" s="18">
        <f t="shared" si="1"/>
        <v>3123.5294117647059</v>
      </c>
      <c r="M7" s="2">
        <v>1062</v>
      </c>
      <c r="N7" s="19">
        <v>0.45</v>
      </c>
      <c r="O7" s="4">
        <v>0.39</v>
      </c>
      <c r="P7" s="20">
        <v>1.08</v>
      </c>
      <c r="Q7" s="21">
        <f t="shared" si="2"/>
        <v>136935.56891333332</v>
      </c>
      <c r="R7" s="22">
        <f t="shared" si="3"/>
        <v>139442.19483333331</v>
      </c>
      <c r="S7" s="2">
        <f t="shared" si="4"/>
        <v>-2506.6259199999986</v>
      </c>
      <c r="T7" s="2">
        <f t="shared" si="5"/>
        <v>1342.3081793200345</v>
      </c>
      <c r="U7" s="23">
        <f t="shared" si="6"/>
        <v>257694.70833333331</v>
      </c>
      <c r="V7" s="23">
        <f t="shared" si="7"/>
        <v>101773.1</v>
      </c>
      <c r="W7" s="23">
        <f t="shared" si="8"/>
        <v>4214.4501666666665</v>
      </c>
      <c r="X7" s="23">
        <f t="shared" si="9"/>
        <v>12264.963333333333</v>
      </c>
      <c r="Y7" s="23">
        <f t="shared" si="10"/>
        <v>260956.66666666666</v>
      </c>
      <c r="Z7" s="23">
        <f t="shared" si="11"/>
        <v>247908.83333333331</v>
      </c>
      <c r="AA7" s="23">
        <f t="shared" si="12"/>
        <v>3333.333333333333</v>
      </c>
      <c r="AB7" s="24">
        <f t="shared" si="13"/>
        <v>0.39</v>
      </c>
      <c r="AC7" s="23">
        <f t="shared" si="14"/>
        <v>28473.600000000002</v>
      </c>
      <c r="AD7" s="23">
        <f t="shared" si="15"/>
        <v>30846.400000000001</v>
      </c>
      <c r="AE7" s="23">
        <f t="shared" si="16"/>
        <v>133.82592000000002</v>
      </c>
      <c r="AF7" s="23">
        <f t="shared" si="17"/>
        <v>28473.600000000002</v>
      </c>
      <c r="AG7" s="23">
        <f t="shared" si="18"/>
        <v>28473.600000000002</v>
      </c>
    </row>
    <row r="8" spans="2:33" ht="13" outlineLevel="1" x14ac:dyDescent="0.15">
      <c r="B8" s="16">
        <v>230</v>
      </c>
      <c r="C8" s="1" t="s">
        <v>39</v>
      </c>
      <c r="D8" s="2">
        <v>99304</v>
      </c>
      <c r="E8" s="2">
        <v>78769</v>
      </c>
      <c r="F8" s="4">
        <v>0.79</v>
      </c>
      <c r="G8" s="2">
        <v>20535</v>
      </c>
      <c r="H8" s="4">
        <v>0.21</v>
      </c>
      <c r="I8" s="2">
        <v>0</v>
      </c>
      <c r="J8" s="17">
        <v>19744</v>
      </c>
      <c r="K8" s="2">
        <f t="shared" si="0"/>
        <v>791</v>
      </c>
      <c r="L8" s="18">
        <f t="shared" si="1"/>
        <v>2441.1764705882351</v>
      </c>
      <c r="M8" s="2">
        <v>830</v>
      </c>
      <c r="N8" s="19">
        <v>0.56000000000000005</v>
      </c>
      <c r="O8" s="4">
        <v>0.5</v>
      </c>
      <c r="P8" s="20">
        <v>1.08</v>
      </c>
      <c r="Q8" s="21">
        <f t="shared" si="2"/>
        <v>84737.307990000016</v>
      </c>
      <c r="R8" s="22">
        <f t="shared" si="3"/>
        <v>86906.625390000016</v>
      </c>
      <c r="S8" s="2">
        <f t="shared" si="4"/>
        <v>-2169.3173999999999</v>
      </c>
      <c r="T8" s="2">
        <f t="shared" si="5"/>
        <v>853.31213234109418</v>
      </c>
      <c r="U8" s="23">
        <f t="shared" si="6"/>
        <v>202239.40750000003</v>
      </c>
      <c r="V8" s="23">
        <f t="shared" si="7"/>
        <v>102399.70000000001</v>
      </c>
      <c r="W8" s="23">
        <f t="shared" si="8"/>
        <v>3307.5103100000006</v>
      </c>
      <c r="X8" s="23">
        <f t="shared" si="9"/>
        <v>9625.5718000000015</v>
      </c>
      <c r="Y8" s="23">
        <f t="shared" si="10"/>
        <v>204799.40000000002</v>
      </c>
      <c r="Z8" s="23">
        <f t="shared" si="11"/>
        <v>194559.43000000002</v>
      </c>
      <c r="AA8" s="23">
        <f t="shared" si="12"/>
        <v>2600</v>
      </c>
      <c r="AB8" s="24">
        <f t="shared" si="13"/>
        <v>0.5</v>
      </c>
      <c r="AC8" s="23">
        <f t="shared" si="14"/>
        <v>24642</v>
      </c>
      <c r="AD8" s="23">
        <f t="shared" si="15"/>
        <v>26695.5</v>
      </c>
      <c r="AE8" s="23">
        <f t="shared" si="16"/>
        <v>115.81740000000001</v>
      </c>
      <c r="AF8" s="23">
        <f t="shared" si="17"/>
        <v>24642</v>
      </c>
      <c r="AG8" s="23">
        <f t="shared" si="18"/>
        <v>24642</v>
      </c>
    </row>
    <row r="9" spans="2:33" ht="13" outlineLevel="1" x14ac:dyDescent="0.15">
      <c r="B9" s="16">
        <v>230</v>
      </c>
      <c r="C9" s="1" t="s">
        <v>40</v>
      </c>
      <c r="D9" s="2">
        <v>106970</v>
      </c>
      <c r="E9" s="2">
        <v>81388</v>
      </c>
      <c r="F9" s="4">
        <v>0.76</v>
      </c>
      <c r="G9" s="2">
        <v>25582</v>
      </c>
      <c r="H9" s="4">
        <v>0.24</v>
      </c>
      <c r="I9" s="2">
        <v>0</v>
      </c>
      <c r="J9" s="17">
        <v>24702</v>
      </c>
      <c r="K9" s="2">
        <f t="shared" si="0"/>
        <v>880</v>
      </c>
      <c r="L9" s="18">
        <f t="shared" si="1"/>
        <v>2435.2941176470586</v>
      </c>
      <c r="M9" s="2">
        <v>828</v>
      </c>
      <c r="N9" s="19">
        <v>0.57999999999999996</v>
      </c>
      <c r="O9" s="4">
        <v>0.5</v>
      </c>
      <c r="P9" s="20">
        <v>1.08</v>
      </c>
      <c r="Q9" s="21">
        <f t="shared" si="2"/>
        <v>87093.71179999999</v>
      </c>
      <c r="R9" s="22">
        <f t="shared" si="3"/>
        <v>89796.194279999996</v>
      </c>
      <c r="S9" s="2">
        <f t="shared" si="4"/>
        <v>-2702.4824799999988</v>
      </c>
      <c r="T9" s="2">
        <f t="shared" si="5"/>
        <v>814.188200430027</v>
      </c>
      <c r="U9" s="23">
        <f t="shared" si="6"/>
        <v>208963.69</v>
      </c>
      <c r="V9" s="23">
        <f t="shared" si="7"/>
        <v>105804.40000000001</v>
      </c>
      <c r="W9" s="23">
        <f t="shared" si="8"/>
        <v>3417.4821200000006</v>
      </c>
      <c r="X9" s="23">
        <f t="shared" si="9"/>
        <v>9945.6136000000006</v>
      </c>
      <c r="Y9" s="23">
        <f t="shared" si="10"/>
        <v>211608.80000000002</v>
      </c>
      <c r="Z9" s="23">
        <f t="shared" si="11"/>
        <v>201028.36000000002</v>
      </c>
      <c r="AA9" s="23">
        <f t="shared" si="12"/>
        <v>2600</v>
      </c>
      <c r="AB9" s="24">
        <f t="shared" si="13"/>
        <v>0.5</v>
      </c>
      <c r="AC9" s="23">
        <f t="shared" si="14"/>
        <v>30698.400000000001</v>
      </c>
      <c r="AD9" s="23">
        <f t="shared" si="15"/>
        <v>33256.6</v>
      </c>
      <c r="AE9" s="23">
        <f t="shared" si="16"/>
        <v>144.28248000000002</v>
      </c>
      <c r="AF9" s="23">
        <f t="shared" si="17"/>
        <v>30698.400000000001</v>
      </c>
      <c r="AG9" s="23">
        <f t="shared" si="18"/>
        <v>30698.400000000001</v>
      </c>
    </row>
    <row r="10" spans="2:33" ht="13" outlineLevel="1" x14ac:dyDescent="0.15">
      <c r="B10" s="16">
        <v>230</v>
      </c>
      <c r="C10" s="1" t="s">
        <v>41</v>
      </c>
      <c r="D10" s="2">
        <v>128294</v>
      </c>
      <c r="E10" s="2">
        <v>100001</v>
      </c>
      <c r="F10" s="4">
        <v>0.78</v>
      </c>
      <c r="G10" s="2">
        <v>28293</v>
      </c>
      <c r="H10" s="4">
        <v>0.22</v>
      </c>
      <c r="I10" s="2">
        <v>0</v>
      </c>
      <c r="J10" s="17">
        <v>27229</v>
      </c>
      <c r="K10" s="2">
        <f t="shared" si="0"/>
        <v>1064</v>
      </c>
      <c r="L10" s="18">
        <f t="shared" si="1"/>
        <v>2567.6470588235293</v>
      </c>
      <c r="M10" s="2">
        <v>873</v>
      </c>
      <c r="N10" s="19">
        <v>0.54</v>
      </c>
      <c r="O10" s="4">
        <v>0.48</v>
      </c>
      <c r="P10" s="20">
        <v>1.08</v>
      </c>
      <c r="Q10" s="21">
        <f t="shared" si="2"/>
        <v>117357.12259458331</v>
      </c>
      <c r="R10" s="22">
        <f t="shared" si="3"/>
        <v>120345.99511458332</v>
      </c>
      <c r="S10" s="2">
        <f t="shared" si="4"/>
        <v>-2988.8725200000044</v>
      </c>
      <c r="T10" s="2">
        <f t="shared" si="5"/>
        <v>914.75145053224094</v>
      </c>
      <c r="U10" s="23">
        <f t="shared" si="6"/>
        <v>267450.59114583331</v>
      </c>
      <c r="V10" s="23">
        <f t="shared" si="7"/>
        <v>130001.3</v>
      </c>
      <c r="W10" s="23">
        <f t="shared" si="8"/>
        <v>4374.0020729166672</v>
      </c>
      <c r="X10" s="23">
        <f t="shared" si="9"/>
        <v>12729.293958333334</v>
      </c>
      <c r="Y10" s="23">
        <f t="shared" si="10"/>
        <v>270836.04166666669</v>
      </c>
      <c r="Z10" s="23">
        <f t="shared" si="11"/>
        <v>257294.23958333334</v>
      </c>
      <c r="AA10" s="23">
        <f t="shared" si="12"/>
        <v>2708.3333333333335</v>
      </c>
      <c r="AB10" s="24">
        <f t="shared" si="13"/>
        <v>0.48</v>
      </c>
      <c r="AC10" s="23">
        <f t="shared" si="14"/>
        <v>33951.599999999999</v>
      </c>
      <c r="AD10" s="23">
        <f t="shared" si="15"/>
        <v>36780.9</v>
      </c>
      <c r="AE10" s="23">
        <f t="shared" si="16"/>
        <v>159.57252</v>
      </c>
      <c r="AF10" s="23">
        <f t="shared" si="17"/>
        <v>33951.599999999999</v>
      </c>
      <c r="AG10" s="23">
        <f t="shared" si="18"/>
        <v>33951.599999999999</v>
      </c>
    </row>
    <row r="11" spans="2:33" ht="13" outlineLevel="1" x14ac:dyDescent="0.15">
      <c r="B11" s="16">
        <v>230</v>
      </c>
      <c r="C11" s="1" t="s">
        <v>42</v>
      </c>
      <c r="D11" s="2">
        <v>133235</v>
      </c>
      <c r="E11" s="2">
        <v>101303</v>
      </c>
      <c r="F11" s="4">
        <v>0.76</v>
      </c>
      <c r="G11" s="2">
        <v>31932</v>
      </c>
      <c r="H11" s="4">
        <v>0.24</v>
      </c>
      <c r="I11" s="2">
        <v>0</v>
      </c>
      <c r="J11" s="17">
        <v>30742</v>
      </c>
      <c r="K11" s="2">
        <f t="shared" si="0"/>
        <v>1190</v>
      </c>
      <c r="L11" s="18">
        <f t="shared" si="1"/>
        <v>2341.1764705882351</v>
      </c>
      <c r="M11" s="2">
        <v>796</v>
      </c>
      <c r="N11" s="19">
        <v>0.6</v>
      </c>
      <c r="O11" s="4">
        <v>0.52</v>
      </c>
      <c r="P11" s="20">
        <v>1.08</v>
      </c>
      <c r="Q11" s="21">
        <f t="shared" si="2"/>
        <v>99031.373645000014</v>
      </c>
      <c r="R11" s="22">
        <f t="shared" si="3"/>
        <v>102404.670125</v>
      </c>
      <c r="S11" s="2">
        <f t="shared" si="4"/>
        <v>-3373.2964799999972</v>
      </c>
      <c r="T11" s="2">
        <f t="shared" si="5"/>
        <v>743.28347389950102</v>
      </c>
      <c r="U11" s="23">
        <f t="shared" si="6"/>
        <v>250091.78125</v>
      </c>
      <c r="V11" s="23">
        <f t="shared" si="7"/>
        <v>131693.9</v>
      </c>
      <c r="W11" s="23">
        <f t="shared" si="8"/>
        <v>4090.1086250000003</v>
      </c>
      <c r="X11" s="23">
        <f t="shared" si="9"/>
        <v>11903.102500000001</v>
      </c>
      <c r="Y11" s="23">
        <f t="shared" si="10"/>
        <v>253257.5</v>
      </c>
      <c r="Z11" s="23">
        <f t="shared" si="11"/>
        <v>240594.625</v>
      </c>
      <c r="AA11" s="23">
        <f t="shared" si="12"/>
        <v>2500</v>
      </c>
      <c r="AB11" s="24">
        <f t="shared" si="13"/>
        <v>0.52</v>
      </c>
      <c r="AC11" s="23">
        <f t="shared" si="14"/>
        <v>38318.400000000001</v>
      </c>
      <c r="AD11" s="23">
        <f t="shared" si="15"/>
        <v>41511.599999999999</v>
      </c>
      <c r="AE11" s="23">
        <f t="shared" si="16"/>
        <v>180.09648000000001</v>
      </c>
      <c r="AF11" s="23">
        <f t="shared" si="17"/>
        <v>38318.400000000001</v>
      </c>
      <c r="AG11" s="23">
        <f t="shared" si="18"/>
        <v>38318.400000000001</v>
      </c>
    </row>
    <row r="12" spans="2:33" ht="13" outlineLevel="1" x14ac:dyDescent="0.15">
      <c r="B12" s="16">
        <v>230</v>
      </c>
      <c r="C12" s="1" t="s">
        <v>43</v>
      </c>
      <c r="D12" s="2">
        <v>158359</v>
      </c>
      <c r="E12" s="2">
        <v>118379</v>
      </c>
      <c r="F12" s="4">
        <v>0.75</v>
      </c>
      <c r="G12" s="2">
        <v>39980</v>
      </c>
      <c r="H12" s="4">
        <v>0.25</v>
      </c>
      <c r="I12" s="2">
        <v>0</v>
      </c>
      <c r="J12" s="17">
        <v>38511</v>
      </c>
      <c r="K12" s="2">
        <f t="shared" si="0"/>
        <v>1469</v>
      </c>
      <c r="L12" s="18">
        <f t="shared" si="1"/>
        <v>2564.705882352941</v>
      </c>
      <c r="M12" s="2">
        <v>872</v>
      </c>
      <c r="N12" s="19">
        <v>0.56000000000000005</v>
      </c>
      <c r="O12" s="4">
        <v>0.48</v>
      </c>
      <c r="P12" s="20">
        <v>1.08</v>
      </c>
      <c r="Q12" s="21">
        <f t="shared" si="2"/>
        <v>138239.4737270833</v>
      </c>
      <c r="R12" s="22">
        <f t="shared" si="3"/>
        <v>142462.9609270833</v>
      </c>
      <c r="S12" s="2">
        <f t="shared" si="4"/>
        <v>-4223.4872000000032</v>
      </c>
      <c r="T12" s="2">
        <f t="shared" si="5"/>
        <v>872.94990323936941</v>
      </c>
      <c r="U12" s="23">
        <f t="shared" si="6"/>
        <v>316602.16927083331</v>
      </c>
      <c r="V12" s="23">
        <f t="shared" si="7"/>
        <v>153892.70000000001</v>
      </c>
      <c r="W12" s="23">
        <f t="shared" si="8"/>
        <v>5177.848135416667</v>
      </c>
      <c r="X12" s="23">
        <f t="shared" si="9"/>
        <v>15068.660208333335</v>
      </c>
      <c r="Y12" s="23">
        <f t="shared" si="10"/>
        <v>320609.79166666669</v>
      </c>
      <c r="Z12" s="23">
        <f t="shared" si="11"/>
        <v>304579.30208333331</v>
      </c>
      <c r="AA12" s="23">
        <f t="shared" si="12"/>
        <v>2708.3333333333335</v>
      </c>
      <c r="AB12" s="24">
        <f t="shared" si="13"/>
        <v>0.48</v>
      </c>
      <c r="AC12" s="23">
        <f t="shared" si="14"/>
        <v>47975.999999999993</v>
      </c>
      <c r="AD12" s="23">
        <f t="shared" si="15"/>
        <v>51973.999999999993</v>
      </c>
      <c r="AE12" s="23">
        <f t="shared" si="16"/>
        <v>225.4872</v>
      </c>
      <c r="AF12" s="23">
        <f t="shared" si="17"/>
        <v>47975.999999999993</v>
      </c>
      <c r="AG12" s="23">
        <f t="shared" si="18"/>
        <v>47975.999999999993</v>
      </c>
    </row>
    <row r="13" spans="2:33" ht="13" outlineLevel="1" x14ac:dyDescent="0.15">
      <c r="B13" s="16">
        <v>230</v>
      </c>
      <c r="C13" s="1" t="s">
        <v>44</v>
      </c>
      <c r="D13" s="2">
        <v>159777</v>
      </c>
      <c r="E13" s="2">
        <v>113848</v>
      </c>
      <c r="F13" s="4">
        <v>0.71</v>
      </c>
      <c r="G13" s="2">
        <v>45929</v>
      </c>
      <c r="H13" s="4">
        <v>0.28999999999999998</v>
      </c>
      <c r="I13" s="2">
        <v>0</v>
      </c>
      <c r="J13" s="17">
        <v>44483</v>
      </c>
      <c r="K13" s="2">
        <f t="shared" si="0"/>
        <v>1446</v>
      </c>
      <c r="L13" s="18">
        <f t="shared" si="1"/>
        <v>2211.7647058823527</v>
      </c>
      <c r="M13" s="2">
        <v>752</v>
      </c>
      <c r="N13" s="19">
        <v>0.64</v>
      </c>
      <c r="O13" s="4">
        <v>0.55000000000000004</v>
      </c>
      <c r="P13" s="20">
        <v>1.08</v>
      </c>
      <c r="Q13" s="21">
        <f t="shared" si="2"/>
        <v>95883.875785454526</v>
      </c>
      <c r="R13" s="22">
        <f t="shared" si="3"/>
        <v>100735.81534545452</v>
      </c>
      <c r="S13" s="2">
        <f t="shared" si="4"/>
        <v>-4851.9395599999989</v>
      </c>
      <c r="T13" s="2">
        <f t="shared" si="5"/>
        <v>600.11062784665205</v>
      </c>
      <c r="U13" s="23">
        <f t="shared" si="6"/>
        <v>265731.58181818179</v>
      </c>
      <c r="V13" s="23">
        <f t="shared" si="7"/>
        <v>148002.4</v>
      </c>
      <c r="W13" s="23">
        <f t="shared" si="8"/>
        <v>4345.8886545454543</v>
      </c>
      <c r="X13" s="23">
        <f t="shared" si="9"/>
        <v>12647.477818181816</v>
      </c>
      <c r="Y13" s="23">
        <f t="shared" si="10"/>
        <v>269095.27272727271</v>
      </c>
      <c r="Z13" s="23">
        <f t="shared" si="11"/>
        <v>255640.50909090906</v>
      </c>
      <c r="AA13" s="23">
        <f t="shared" si="12"/>
        <v>2363.6363636363635</v>
      </c>
      <c r="AB13" s="24">
        <f t="shared" si="13"/>
        <v>0.55000000000000004</v>
      </c>
      <c r="AC13" s="23">
        <f t="shared" si="14"/>
        <v>55114.8</v>
      </c>
      <c r="AD13" s="23">
        <f t="shared" si="15"/>
        <v>59707.700000000004</v>
      </c>
      <c r="AE13" s="23">
        <f t="shared" si="16"/>
        <v>259.03956000000005</v>
      </c>
      <c r="AF13" s="23">
        <f t="shared" si="17"/>
        <v>55114.8</v>
      </c>
      <c r="AG13" s="23">
        <f t="shared" si="18"/>
        <v>55114.8</v>
      </c>
    </row>
    <row r="14" spans="2:33" ht="13" outlineLevel="1" x14ac:dyDescent="0.15">
      <c r="B14" s="16">
        <v>250</v>
      </c>
      <c r="C14" s="1" t="s">
        <v>45</v>
      </c>
      <c r="D14" s="2">
        <v>171039</v>
      </c>
      <c r="E14" s="2">
        <v>107161</v>
      </c>
      <c r="F14" s="4">
        <v>0.63</v>
      </c>
      <c r="G14" s="2">
        <v>63878</v>
      </c>
      <c r="H14" s="4">
        <v>0.37</v>
      </c>
      <c r="I14" s="2">
        <v>0</v>
      </c>
      <c r="J14" s="17">
        <v>62164</v>
      </c>
      <c r="K14" s="2">
        <f t="shared" si="0"/>
        <v>1714</v>
      </c>
      <c r="L14" s="18">
        <f t="shared" si="1"/>
        <v>2670.5882352941176</v>
      </c>
      <c r="M14" s="2">
        <v>908</v>
      </c>
      <c r="N14" s="19">
        <v>0.57999999999999996</v>
      </c>
      <c r="O14" s="4">
        <v>0.46</v>
      </c>
      <c r="P14" s="20">
        <v>1.08</v>
      </c>
      <c r="Q14" s="21">
        <f t="shared" si="2"/>
        <v>133878.60950391303</v>
      </c>
      <c r="R14" s="22">
        <f t="shared" si="3"/>
        <v>140626.68142391302</v>
      </c>
      <c r="S14" s="2">
        <f t="shared" si="4"/>
        <v>-6748.0719199999876</v>
      </c>
      <c r="T14" s="2">
        <f t="shared" si="5"/>
        <v>782.7373260128569</v>
      </c>
      <c r="U14" s="23">
        <f t="shared" si="6"/>
        <v>299060.72554347821</v>
      </c>
      <c r="V14" s="23">
        <f t="shared" si="7"/>
        <v>139309.29999999999</v>
      </c>
      <c r="W14" s="23">
        <f t="shared" si="8"/>
        <v>4890.967815217391</v>
      </c>
      <c r="X14" s="23">
        <f t="shared" si="9"/>
        <v>14233.776304347824</v>
      </c>
      <c r="Y14" s="23">
        <f t="shared" si="10"/>
        <v>302846.30434782605</v>
      </c>
      <c r="Z14" s="23">
        <f t="shared" si="11"/>
        <v>287703.98913043475</v>
      </c>
      <c r="AA14" s="23">
        <f t="shared" si="12"/>
        <v>2826.086956521739</v>
      </c>
      <c r="AB14" s="24">
        <f t="shared" si="13"/>
        <v>0.46</v>
      </c>
      <c r="AC14" s="23">
        <f t="shared" si="14"/>
        <v>76653.600000000006</v>
      </c>
      <c r="AD14" s="23">
        <f t="shared" si="15"/>
        <v>83041.399999999994</v>
      </c>
      <c r="AE14" s="23">
        <f t="shared" si="16"/>
        <v>360.27192000000008</v>
      </c>
      <c r="AF14" s="23">
        <f t="shared" si="17"/>
        <v>76653.600000000006</v>
      </c>
      <c r="AG14" s="23">
        <f t="shared" si="18"/>
        <v>76653.600000000006</v>
      </c>
    </row>
    <row r="15" spans="2:33" ht="13" outlineLevel="1" x14ac:dyDescent="0.15">
      <c r="B15" s="16">
        <v>250</v>
      </c>
      <c r="C15" s="1" t="s">
        <v>46</v>
      </c>
      <c r="D15" s="2">
        <v>109358</v>
      </c>
      <c r="E15" s="2">
        <v>60895</v>
      </c>
      <c r="F15" s="4">
        <v>0.56000000000000005</v>
      </c>
      <c r="G15" s="2">
        <v>48463</v>
      </c>
      <c r="H15" s="4">
        <v>0.44</v>
      </c>
      <c r="I15" s="2">
        <v>0</v>
      </c>
      <c r="J15" s="17">
        <v>47321</v>
      </c>
      <c r="K15" s="2">
        <f t="shared" si="0"/>
        <v>1142</v>
      </c>
      <c r="L15" s="18">
        <f t="shared" si="1"/>
        <v>2805.8823529411761</v>
      </c>
      <c r="M15" s="2">
        <v>954</v>
      </c>
      <c r="N15" s="19">
        <v>0.59</v>
      </c>
      <c r="O15" s="4">
        <v>0.44</v>
      </c>
      <c r="P15" s="20">
        <v>1.08</v>
      </c>
      <c r="Q15" s="21">
        <f t="shared" si="2"/>
        <v>82023.189645909108</v>
      </c>
      <c r="R15" s="22">
        <f t="shared" si="3"/>
        <v>87142.820965909108</v>
      </c>
      <c r="S15" s="2">
        <f t="shared" si="4"/>
        <v>-5119.6313200000004</v>
      </c>
      <c r="T15" s="2">
        <f t="shared" si="5"/>
        <v>750.04288342790744</v>
      </c>
      <c r="U15" s="23">
        <f t="shared" si="6"/>
        <v>177668.08238636365</v>
      </c>
      <c r="V15" s="23">
        <f t="shared" si="7"/>
        <v>79163.5</v>
      </c>
      <c r="W15" s="23">
        <f t="shared" si="8"/>
        <v>2905.660284090909</v>
      </c>
      <c r="X15" s="23">
        <f t="shared" si="9"/>
        <v>8456.1011363636371</v>
      </c>
      <c r="Y15" s="23">
        <f t="shared" si="10"/>
        <v>179917.04545454547</v>
      </c>
      <c r="Z15" s="23">
        <f t="shared" si="11"/>
        <v>170921.19318181818</v>
      </c>
      <c r="AA15" s="23">
        <f t="shared" si="12"/>
        <v>2954.5454545454545</v>
      </c>
      <c r="AB15" s="24">
        <f t="shared" si="13"/>
        <v>0.44</v>
      </c>
      <c r="AC15" s="23">
        <f t="shared" si="14"/>
        <v>58155.6</v>
      </c>
      <c r="AD15" s="23">
        <f t="shared" si="15"/>
        <v>63001.9</v>
      </c>
      <c r="AE15" s="23">
        <f t="shared" si="16"/>
        <v>273.33132000000001</v>
      </c>
      <c r="AF15" s="23">
        <f t="shared" si="17"/>
        <v>58155.6</v>
      </c>
      <c r="AG15" s="23">
        <f t="shared" si="18"/>
        <v>58155.6</v>
      </c>
    </row>
    <row r="16" spans="2:33" ht="13" outlineLevel="1" x14ac:dyDescent="0.15">
      <c r="B16" s="16">
        <v>250</v>
      </c>
      <c r="C16" s="1" t="s">
        <v>47</v>
      </c>
      <c r="D16" s="2">
        <v>93890</v>
      </c>
      <c r="E16" s="2">
        <v>59872</v>
      </c>
      <c r="F16" s="4">
        <v>0.64</v>
      </c>
      <c r="G16" s="2">
        <v>34018</v>
      </c>
      <c r="H16" s="4">
        <v>0.36</v>
      </c>
      <c r="I16" s="2">
        <v>0</v>
      </c>
      <c r="J16" s="17">
        <v>33107</v>
      </c>
      <c r="K16" s="2">
        <f t="shared" si="0"/>
        <v>911</v>
      </c>
      <c r="L16" s="18">
        <f t="shared" si="1"/>
        <v>2664.705882352941</v>
      </c>
      <c r="M16" s="2">
        <v>906</v>
      </c>
      <c r="N16" s="19">
        <v>0.57999999999999996</v>
      </c>
      <c r="O16" s="4">
        <v>0.46</v>
      </c>
      <c r="P16" s="20">
        <v>1.08</v>
      </c>
      <c r="Q16" s="21">
        <f t="shared" si="2"/>
        <v>74975.973610434798</v>
      </c>
      <c r="R16" s="22">
        <f t="shared" si="3"/>
        <v>78569.635130434792</v>
      </c>
      <c r="S16" s="2">
        <f t="shared" si="4"/>
        <v>-3593.6615200000015</v>
      </c>
      <c r="T16" s="2">
        <f t="shared" si="5"/>
        <v>798.55121536302909</v>
      </c>
      <c r="U16" s="23">
        <f t="shared" si="6"/>
        <v>167088.4347826087</v>
      </c>
      <c r="V16" s="23">
        <f t="shared" si="7"/>
        <v>77833.600000000006</v>
      </c>
      <c r="W16" s="23">
        <f t="shared" si="8"/>
        <v>2732.6361739130434</v>
      </c>
      <c r="X16" s="23">
        <f t="shared" si="9"/>
        <v>7952.5634782608695</v>
      </c>
      <c r="Y16" s="23">
        <f t="shared" si="10"/>
        <v>169203.47826086957</v>
      </c>
      <c r="Z16" s="23">
        <f t="shared" si="11"/>
        <v>160743.30434782608</v>
      </c>
      <c r="AA16" s="23">
        <f t="shared" si="12"/>
        <v>2826.086956521739</v>
      </c>
      <c r="AB16" s="24">
        <f t="shared" si="13"/>
        <v>0.46</v>
      </c>
      <c r="AC16" s="23">
        <f t="shared" si="14"/>
        <v>40821.599999999999</v>
      </c>
      <c r="AD16" s="23">
        <f t="shared" si="15"/>
        <v>44223.4</v>
      </c>
      <c r="AE16" s="23">
        <f t="shared" si="16"/>
        <v>191.86152000000001</v>
      </c>
      <c r="AF16" s="23">
        <f t="shared" si="17"/>
        <v>40821.599999999999</v>
      </c>
      <c r="AG16" s="23">
        <f t="shared" si="18"/>
        <v>40821.599999999999</v>
      </c>
    </row>
    <row r="17" spans="2:33" ht="13" outlineLevel="1" x14ac:dyDescent="0.15">
      <c r="B17" s="16">
        <v>250</v>
      </c>
      <c r="C17" s="1" t="s">
        <v>48</v>
      </c>
      <c r="D17" s="2">
        <v>122791</v>
      </c>
      <c r="E17" s="2">
        <v>83043</v>
      </c>
      <c r="F17" s="4">
        <v>0.68</v>
      </c>
      <c r="G17" s="2">
        <v>39748</v>
      </c>
      <c r="H17" s="4">
        <v>0.32</v>
      </c>
      <c r="I17" s="2">
        <v>0</v>
      </c>
      <c r="J17" s="17">
        <v>38663</v>
      </c>
      <c r="K17" s="2">
        <f t="shared" si="0"/>
        <v>1085</v>
      </c>
      <c r="L17" s="18">
        <f t="shared" si="1"/>
        <v>3535.2941176470586</v>
      </c>
      <c r="M17" s="2">
        <v>1202</v>
      </c>
      <c r="N17" s="19">
        <v>0.44</v>
      </c>
      <c r="O17" s="4">
        <v>0.35</v>
      </c>
      <c r="P17" s="20">
        <v>1.08</v>
      </c>
      <c r="Q17" s="21">
        <f t="shared" si="2"/>
        <v>172956.65318000002</v>
      </c>
      <c r="R17" s="22">
        <f t="shared" si="3"/>
        <v>177155.63190000004</v>
      </c>
      <c r="S17" s="2">
        <f t="shared" si="4"/>
        <v>-4198.9787199999992</v>
      </c>
      <c r="T17" s="2">
        <f t="shared" si="5"/>
        <v>1408.5450332679109</v>
      </c>
      <c r="U17" s="23">
        <f t="shared" si="6"/>
        <v>304589.86071428575</v>
      </c>
      <c r="V17" s="23">
        <f t="shared" si="7"/>
        <v>107955.90000000001</v>
      </c>
      <c r="W17" s="23">
        <f t="shared" si="8"/>
        <v>4981.3936714285728</v>
      </c>
      <c r="X17" s="23">
        <f t="shared" si="9"/>
        <v>14496.935142857146</v>
      </c>
      <c r="Y17" s="23">
        <f t="shared" si="10"/>
        <v>308445.42857142864</v>
      </c>
      <c r="Z17" s="23">
        <f t="shared" si="11"/>
        <v>293023.15714285721</v>
      </c>
      <c r="AA17" s="23">
        <f t="shared" si="12"/>
        <v>3714.2857142857147</v>
      </c>
      <c r="AB17" s="24">
        <f t="shared" si="13"/>
        <v>0.35</v>
      </c>
      <c r="AC17" s="23">
        <f t="shared" si="14"/>
        <v>47697.599999999999</v>
      </c>
      <c r="AD17" s="23">
        <f t="shared" si="15"/>
        <v>51672.399999999994</v>
      </c>
      <c r="AE17" s="23">
        <f t="shared" si="16"/>
        <v>224.17872</v>
      </c>
      <c r="AF17" s="23">
        <f t="shared" si="17"/>
        <v>47697.599999999999</v>
      </c>
      <c r="AG17" s="23">
        <f t="shared" si="18"/>
        <v>47697.599999999999</v>
      </c>
    </row>
    <row r="18" spans="2:33" ht="13" outlineLevel="1" x14ac:dyDescent="0.15">
      <c r="B18" s="16">
        <v>250</v>
      </c>
      <c r="C18" s="1" t="s">
        <v>49</v>
      </c>
      <c r="D18" s="2">
        <v>137766</v>
      </c>
      <c r="E18" s="2">
        <v>92614</v>
      </c>
      <c r="F18" s="4">
        <v>0.67</v>
      </c>
      <c r="G18" s="2">
        <v>45152</v>
      </c>
      <c r="H18" s="4">
        <v>0.33</v>
      </c>
      <c r="I18" s="2">
        <v>0</v>
      </c>
      <c r="J18" s="17">
        <v>43784</v>
      </c>
      <c r="K18" s="2">
        <f t="shared" si="0"/>
        <v>1368</v>
      </c>
      <c r="L18" s="18">
        <f t="shared" si="1"/>
        <v>2167.6470588235293</v>
      </c>
      <c r="M18" s="2">
        <v>737</v>
      </c>
      <c r="N18" s="19">
        <v>0.67</v>
      </c>
      <c r="O18" s="4">
        <v>0.56999999999999995</v>
      </c>
      <c r="P18" s="20">
        <v>1.08</v>
      </c>
      <c r="Q18" s="21">
        <f t="shared" si="2"/>
        <v>70077.690386666713</v>
      </c>
      <c r="R18" s="22">
        <f t="shared" si="3"/>
        <v>74847.547666666709</v>
      </c>
      <c r="S18" s="2">
        <f t="shared" si="4"/>
        <v>-4769.8572799999965</v>
      </c>
      <c r="T18" s="2">
        <f t="shared" si="5"/>
        <v>508.67188120920048</v>
      </c>
      <c r="U18" s="23">
        <f t="shared" si="6"/>
        <v>208584.60087719304</v>
      </c>
      <c r="V18" s="23">
        <f t="shared" si="7"/>
        <v>120398.20000000001</v>
      </c>
      <c r="W18" s="23">
        <f t="shared" si="8"/>
        <v>3411.282333333334</v>
      </c>
      <c r="X18" s="23">
        <f t="shared" si="9"/>
        <v>9927.570877192984</v>
      </c>
      <c r="Y18" s="23">
        <f t="shared" si="10"/>
        <v>211224.9122807018</v>
      </c>
      <c r="Z18" s="23">
        <f t="shared" si="11"/>
        <v>200663.66666666669</v>
      </c>
      <c r="AA18" s="23">
        <f t="shared" si="12"/>
        <v>2280.7017543859652</v>
      </c>
      <c r="AB18" s="24">
        <f t="shared" si="13"/>
        <v>0.56999999999999995</v>
      </c>
      <c r="AC18" s="23">
        <f t="shared" si="14"/>
        <v>54182.400000000001</v>
      </c>
      <c r="AD18" s="23">
        <f t="shared" si="15"/>
        <v>58697.599999999999</v>
      </c>
      <c r="AE18" s="23">
        <f t="shared" si="16"/>
        <v>254.65728000000001</v>
      </c>
      <c r="AF18" s="23">
        <f t="shared" si="17"/>
        <v>54182.400000000001</v>
      </c>
      <c r="AG18" s="23">
        <f t="shared" si="18"/>
        <v>54182.400000000001</v>
      </c>
    </row>
    <row r="19" spans="2:33" ht="13" outlineLevel="1" x14ac:dyDescent="0.15">
      <c r="B19" s="16">
        <v>250</v>
      </c>
      <c r="C19" s="1" t="s">
        <v>50</v>
      </c>
      <c r="D19" s="2">
        <v>156022</v>
      </c>
      <c r="E19" s="2">
        <v>116208</v>
      </c>
      <c r="F19" s="4">
        <v>0.74</v>
      </c>
      <c r="G19" s="2">
        <v>39814</v>
      </c>
      <c r="H19" s="4">
        <v>0.26</v>
      </c>
      <c r="I19" s="2">
        <v>0</v>
      </c>
      <c r="J19" s="17">
        <v>38506</v>
      </c>
      <c r="K19" s="2">
        <f t="shared" si="0"/>
        <v>1308</v>
      </c>
      <c r="L19" s="18">
        <f t="shared" si="1"/>
        <v>2726.4705882352941</v>
      </c>
      <c r="M19" s="2">
        <v>927</v>
      </c>
      <c r="N19" s="19">
        <v>0.53</v>
      </c>
      <c r="O19" s="4">
        <v>0.45</v>
      </c>
      <c r="P19" s="20">
        <v>1.08</v>
      </c>
      <c r="Q19" s="21">
        <f t="shared" si="2"/>
        <v>155039.03623999999</v>
      </c>
      <c r="R19" s="22">
        <f t="shared" si="3"/>
        <v>159244.98719999997</v>
      </c>
      <c r="S19" s="2">
        <f t="shared" si="4"/>
        <v>-4205.9509599999947</v>
      </c>
      <c r="T19" s="2">
        <f t="shared" si="5"/>
        <v>993.69983874069032</v>
      </c>
      <c r="U19" s="23">
        <f t="shared" si="6"/>
        <v>331515.59999999998</v>
      </c>
      <c r="V19" s="23">
        <f t="shared" si="7"/>
        <v>151070.39999999999</v>
      </c>
      <c r="W19" s="23">
        <f t="shared" si="8"/>
        <v>5421.7487999999994</v>
      </c>
      <c r="X19" s="23">
        <f t="shared" si="9"/>
        <v>15778.464</v>
      </c>
      <c r="Y19" s="23">
        <f t="shared" si="10"/>
        <v>335712</v>
      </c>
      <c r="Z19" s="23">
        <f t="shared" si="11"/>
        <v>318926.39999999997</v>
      </c>
      <c r="AA19" s="23">
        <f t="shared" si="12"/>
        <v>2888.8888888888887</v>
      </c>
      <c r="AB19" s="24">
        <f t="shared" si="13"/>
        <v>0.45</v>
      </c>
      <c r="AC19" s="23">
        <f t="shared" si="14"/>
        <v>47776.800000000003</v>
      </c>
      <c r="AD19" s="23">
        <f t="shared" si="15"/>
        <v>51758.2</v>
      </c>
      <c r="AE19" s="23">
        <f t="shared" si="16"/>
        <v>224.55096000000003</v>
      </c>
      <c r="AF19" s="23">
        <f t="shared" si="17"/>
        <v>47776.800000000003</v>
      </c>
      <c r="AG19" s="23">
        <f t="shared" si="18"/>
        <v>47776.800000000003</v>
      </c>
    </row>
    <row r="20" spans="2:33" ht="13" outlineLevel="1" x14ac:dyDescent="0.15">
      <c r="B20" s="16">
        <v>250</v>
      </c>
      <c r="C20" s="1" t="s">
        <v>51</v>
      </c>
      <c r="D20" s="2">
        <v>152492</v>
      </c>
      <c r="E20" s="2">
        <v>122142</v>
      </c>
      <c r="F20" s="4">
        <v>0.8</v>
      </c>
      <c r="G20" s="2">
        <v>30350</v>
      </c>
      <c r="H20" s="4">
        <v>0.2</v>
      </c>
      <c r="I20" s="2">
        <v>0</v>
      </c>
      <c r="J20" s="17">
        <v>29224</v>
      </c>
      <c r="K20" s="2">
        <f t="shared" si="0"/>
        <v>1126</v>
      </c>
      <c r="L20" s="18">
        <f t="shared" si="1"/>
        <v>2279.411764705882</v>
      </c>
      <c r="M20" s="2">
        <v>775</v>
      </c>
      <c r="N20" s="19">
        <v>0.6</v>
      </c>
      <c r="O20" s="4">
        <v>0.54</v>
      </c>
      <c r="P20" s="20">
        <v>1.08</v>
      </c>
      <c r="Q20" s="21">
        <f t="shared" si="2"/>
        <v>109810.23527777777</v>
      </c>
      <c r="R20" s="22">
        <f t="shared" si="3"/>
        <v>113016.40927777777</v>
      </c>
      <c r="S20" s="2">
        <f t="shared" si="4"/>
        <v>-3206.1739999999991</v>
      </c>
      <c r="T20" s="2">
        <f t="shared" si="5"/>
        <v>720.10489256995629</v>
      </c>
      <c r="U20" s="23">
        <f t="shared" si="6"/>
        <v>290369.98611111112</v>
      </c>
      <c r="V20" s="23">
        <f t="shared" si="7"/>
        <v>158784.6</v>
      </c>
      <c r="W20" s="23">
        <f t="shared" si="8"/>
        <v>4748.8357222222221</v>
      </c>
      <c r="X20" s="23">
        <f t="shared" si="9"/>
        <v>13820.141111111112</v>
      </c>
      <c r="Y20" s="23">
        <f t="shared" si="10"/>
        <v>294045.55555555556</v>
      </c>
      <c r="Z20" s="23">
        <f t="shared" si="11"/>
        <v>279343.27777777775</v>
      </c>
      <c r="AA20" s="23">
        <f t="shared" si="12"/>
        <v>2407.4074074074074</v>
      </c>
      <c r="AB20" s="24">
        <f t="shared" si="13"/>
        <v>0.54</v>
      </c>
      <c r="AC20" s="23">
        <f t="shared" si="14"/>
        <v>36420</v>
      </c>
      <c r="AD20" s="23">
        <f t="shared" si="15"/>
        <v>39455</v>
      </c>
      <c r="AE20" s="23">
        <f t="shared" si="16"/>
        <v>171.17400000000001</v>
      </c>
      <c r="AF20" s="23">
        <f t="shared" si="17"/>
        <v>36420</v>
      </c>
      <c r="AG20" s="23">
        <f t="shared" si="18"/>
        <v>36420</v>
      </c>
    </row>
    <row r="21" spans="2:33" ht="13" outlineLevel="1" x14ac:dyDescent="0.15">
      <c r="B21" s="16">
        <v>250</v>
      </c>
      <c r="C21" s="1" t="s">
        <v>52</v>
      </c>
      <c r="D21" s="2">
        <v>152223</v>
      </c>
      <c r="E21" s="2">
        <v>129149</v>
      </c>
      <c r="F21" s="4">
        <v>0.85</v>
      </c>
      <c r="G21" s="2">
        <v>23074</v>
      </c>
      <c r="H21" s="4">
        <v>0.15</v>
      </c>
      <c r="I21" s="2">
        <v>0</v>
      </c>
      <c r="J21" s="17">
        <v>21978</v>
      </c>
      <c r="K21" s="2">
        <f t="shared" si="0"/>
        <v>1096</v>
      </c>
      <c r="L21" s="18">
        <f t="shared" si="1"/>
        <v>2297.0588235294117</v>
      </c>
      <c r="M21" s="2">
        <v>781</v>
      </c>
      <c r="N21" s="19">
        <v>0.57999999999999996</v>
      </c>
      <c r="O21" s="4">
        <v>0.53</v>
      </c>
      <c r="P21" s="20">
        <v>1.08</v>
      </c>
      <c r="Q21" s="21">
        <f t="shared" si="2"/>
        <v>122484.87885698107</v>
      </c>
      <c r="R21" s="22">
        <f t="shared" si="3"/>
        <v>124922.41621698107</v>
      </c>
      <c r="S21" s="2">
        <f t="shared" si="4"/>
        <v>-2437.5373599999984</v>
      </c>
      <c r="T21" s="2">
        <f t="shared" si="5"/>
        <v>804.64107826662905</v>
      </c>
      <c r="U21" s="23">
        <f t="shared" si="6"/>
        <v>312820.8089622641</v>
      </c>
      <c r="V21" s="23">
        <f t="shared" si="7"/>
        <v>167893.7</v>
      </c>
      <c r="W21" s="23">
        <f t="shared" si="8"/>
        <v>5116.0061415094342</v>
      </c>
      <c r="X21" s="23">
        <f t="shared" si="9"/>
        <v>14888.686603773585</v>
      </c>
      <c r="Y21" s="23">
        <f t="shared" si="10"/>
        <v>316780.56603773584</v>
      </c>
      <c r="Z21" s="23">
        <f t="shared" si="11"/>
        <v>300941.53773584904</v>
      </c>
      <c r="AA21" s="23">
        <f t="shared" si="12"/>
        <v>2452.8301886792451</v>
      </c>
      <c r="AB21" s="24">
        <f t="shared" si="13"/>
        <v>0.53</v>
      </c>
      <c r="AC21" s="23">
        <f t="shared" si="14"/>
        <v>27688.800000000003</v>
      </c>
      <c r="AD21" s="23">
        <f t="shared" si="15"/>
        <v>29996.2</v>
      </c>
      <c r="AE21" s="23">
        <f t="shared" si="16"/>
        <v>130.13736000000003</v>
      </c>
      <c r="AF21" s="23">
        <f t="shared" si="17"/>
        <v>27688.800000000003</v>
      </c>
      <c r="AG21" s="23">
        <f t="shared" si="18"/>
        <v>27688.800000000003</v>
      </c>
    </row>
    <row r="22" spans="2:33" ht="13" outlineLevel="1" x14ac:dyDescent="0.15">
      <c r="B22" s="16">
        <v>250</v>
      </c>
      <c r="C22" s="1" t="s">
        <v>53</v>
      </c>
      <c r="D22" s="2">
        <v>110944</v>
      </c>
      <c r="E22" s="2">
        <v>97923</v>
      </c>
      <c r="F22" s="4">
        <v>0.88</v>
      </c>
      <c r="G22" s="2">
        <v>13021</v>
      </c>
      <c r="H22" s="4">
        <v>0.12</v>
      </c>
      <c r="I22" s="2">
        <v>0</v>
      </c>
      <c r="J22" s="17">
        <v>12248</v>
      </c>
      <c r="K22" s="2">
        <f t="shared" si="0"/>
        <v>773</v>
      </c>
      <c r="L22" s="18">
        <f t="shared" si="1"/>
        <v>2705.8823529411761</v>
      </c>
      <c r="M22" s="2">
        <v>920</v>
      </c>
      <c r="N22" s="19">
        <v>0.49</v>
      </c>
      <c r="O22" s="4">
        <v>0.45</v>
      </c>
      <c r="P22" s="20">
        <v>1.08</v>
      </c>
      <c r="Q22" s="21">
        <f t="shared" si="2"/>
        <v>132812.70059333328</v>
      </c>
      <c r="R22" s="22">
        <f t="shared" si="3"/>
        <v>134188.23903333329</v>
      </c>
      <c r="S22" s="2">
        <f t="shared" si="4"/>
        <v>-1375.5384400000003</v>
      </c>
      <c r="T22" s="2">
        <f t="shared" si="5"/>
        <v>1197.1147659479852</v>
      </c>
      <c r="U22" s="23">
        <f t="shared" si="6"/>
        <v>279352.55833333329</v>
      </c>
      <c r="V22" s="23">
        <f t="shared" si="7"/>
        <v>127299.90000000001</v>
      </c>
      <c r="W22" s="23">
        <f t="shared" si="8"/>
        <v>4568.6519666666663</v>
      </c>
      <c r="X22" s="23">
        <f t="shared" si="9"/>
        <v>13295.767333333331</v>
      </c>
      <c r="Y22" s="23">
        <f t="shared" si="10"/>
        <v>282888.66666666663</v>
      </c>
      <c r="Z22" s="23">
        <f t="shared" si="11"/>
        <v>268744.23333333328</v>
      </c>
      <c r="AA22" s="23">
        <f t="shared" si="12"/>
        <v>2888.8888888888887</v>
      </c>
      <c r="AB22" s="24">
        <f t="shared" si="13"/>
        <v>0.45</v>
      </c>
      <c r="AC22" s="23">
        <f t="shared" si="14"/>
        <v>15625.2</v>
      </c>
      <c r="AD22" s="23">
        <f t="shared" si="15"/>
        <v>16927.3</v>
      </c>
      <c r="AE22" s="23">
        <f t="shared" si="16"/>
        <v>73.43844</v>
      </c>
      <c r="AF22" s="23">
        <f t="shared" si="17"/>
        <v>15625.2</v>
      </c>
      <c r="AG22" s="23">
        <f t="shared" si="18"/>
        <v>15625.2</v>
      </c>
    </row>
    <row r="23" spans="2:33" ht="13" outlineLevel="1" x14ac:dyDescent="0.15">
      <c r="B23" s="16">
        <v>250</v>
      </c>
      <c r="C23" s="1" t="s">
        <v>54</v>
      </c>
      <c r="D23" s="2">
        <v>100055</v>
      </c>
      <c r="E23" s="2">
        <v>90375</v>
      </c>
      <c r="F23" s="4">
        <v>0.9</v>
      </c>
      <c r="G23" s="2">
        <v>9680</v>
      </c>
      <c r="H23" s="4">
        <v>0.1</v>
      </c>
      <c r="I23" s="2">
        <v>0</v>
      </c>
      <c r="J23" s="17">
        <v>8849</v>
      </c>
      <c r="K23" s="2">
        <f t="shared" si="0"/>
        <v>831</v>
      </c>
      <c r="L23" s="18">
        <f t="shared" si="1"/>
        <v>2320.5882352941176</v>
      </c>
      <c r="M23" s="2">
        <v>789</v>
      </c>
      <c r="N23" s="19">
        <v>0.56000000000000005</v>
      </c>
      <c r="O23" s="4">
        <v>0.53</v>
      </c>
      <c r="P23" s="20">
        <v>1.08</v>
      </c>
      <c r="Q23" s="21">
        <f t="shared" si="2"/>
        <v>86394.755035849041</v>
      </c>
      <c r="R23" s="22">
        <f t="shared" si="3"/>
        <v>87417.350235849037</v>
      </c>
      <c r="S23" s="2">
        <f t="shared" si="4"/>
        <v>-1022.5951999999997</v>
      </c>
      <c r="T23" s="2">
        <f t="shared" si="5"/>
        <v>863.47264040626692</v>
      </c>
      <c r="U23" s="23">
        <f t="shared" si="6"/>
        <v>218903.59669811319</v>
      </c>
      <c r="V23" s="23">
        <f t="shared" si="7"/>
        <v>117487.5</v>
      </c>
      <c r="W23" s="23">
        <f t="shared" si="8"/>
        <v>3580.0436320754716</v>
      </c>
      <c r="X23" s="23">
        <f t="shared" si="9"/>
        <v>10418.702830188678</v>
      </c>
      <c r="Y23" s="23">
        <f t="shared" si="10"/>
        <v>221674.52830188678</v>
      </c>
      <c r="Z23" s="23">
        <f t="shared" si="11"/>
        <v>210590.80188679244</v>
      </c>
      <c r="AA23" s="23">
        <f t="shared" si="12"/>
        <v>2452.8301886792451</v>
      </c>
      <c r="AB23" s="24">
        <f t="shared" si="13"/>
        <v>0.53</v>
      </c>
      <c r="AC23" s="23">
        <f t="shared" si="14"/>
        <v>11616</v>
      </c>
      <c r="AD23" s="23">
        <f t="shared" si="15"/>
        <v>12584</v>
      </c>
      <c r="AE23" s="23">
        <f t="shared" si="16"/>
        <v>54.595200000000006</v>
      </c>
      <c r="AF23" s="23">
        <f t="shared" si="17"/>
        <v>11616</v>
      </c>
      <c r="AG23" s="23">
        <f t="shared" si="18"/>
        <v>11616</v>
      </c>
    </row>
    <row r="24" spans="2:33" ht="13" outlineLevel="1" x14ac:dyDescent="0.15">
      <c r="B24" s="16">
        <v>250</v>
      </c>
      <c r="C24" s="1" t="s">
        <v>55</v>
      </c>
      <c r="D24" s="2">
        <v>99831</v>
      </c>
      <c r="E24" s="2">
        <v>90107</v>
      </c>
      <c r="F24" s="4">
        <v>0.9</v>
      </c>
      <c r="G24" s="2">
        <v>9724</v>
      </c>
      <c r="H24" s="4">
        <v>0.1</v>
      </c>
      <c r="I24" s="2">
        <v>0</v>
      </c>
      <c r="J24" s="17">
        <v>9020</v>
      </c>
      <c r="K24" s="2">
        <f t="shared" si="0"/>
        <v>704</v>
      </c>
      <c r="L24" s="18">
        <f t="shared" si="1"/>
        <v>2097.0588235294117</v>
      </c>
      <c r="M24" s="2">
        <v>713</v>
      </c>
      <c r="N24" s="19">
        <v>0.61</v>
      </c>
      <c r="O24" s="4">
        <v>0.59</v>
      </c>
      <c r="P24" s="20">
        <v>1.08</v>
      </c>
      <c r="Q24" s="21">
        <f t="shared" si="2"/>
        <v>65354.888987457634</v>
      </c>
      <c r="R24" s="22">
        <f t="shared" si="3"/>
        <v>66382.132347457635</v>
      </c>
      <c r="S24" s="2">
        <f t="shared" si="4"/>
        <v>-1027.2433600000004</v>
      </c>
      <c r="T24" s="2">
        <f t="shared" si="5"/>
        <v>654.65525725934458</v>
      </c>
      <c r="U24" s="23">
        <f t="shared" si="6"/>
        <v>196059.0868644068</v>
      </c>
      <c r="V24" s="23">
        <f t="shared" si="7"/>
        <v>117139.1</v>
      </c>
      <c r="W24" s="23">
        <f t="shared" si="8"/>
        <v>3206.4346864406784</v>
      </c>
      <c r="X24" s="23">
        <f t="shared" si="9"/>
        <v>9331.4198305084756</v>
      </c>
      <c r="Y24" s="23">
        <f t="shared" si="10"/>
        <v>198540.84745762715</v>
      </c>
      <c r="Z24" s="23">
        <f t="shared" si="11"/>
        <v>188613.80508474578</v>
      </c>
      <c r="AA24" s="23">
        <f t="shared" si="12"/>
        <v>2203.3898305084749</v>
      </c>
      <c r="AB24" s="24">
        <f t="shared" si="13"/>
        <v>0.59</v>
      </c>
      <c r="AC24" s="23">
        <f t="shared" si="14"/>
        <v>11668.800000000001</v>
      </c>
      <c r="AD24" s="23">
        <f t="shared" si="15"/>
        <v>12641.2</v>
      </c>
      <c r="AE24" s="23">
        <f t="shared" si="16"/>
        <v>54.843360000000011</v>
      </c>
      <c r="AF24" s="23">
        <f t="shared" si="17"/>
        <v>11668.800000000001</v>
      </c>
      <c r="AG24" s="23">
        <f t="shared" si="18"/>
        <v>11668.800000000001</v>
      </c>
    </row>
    <row r="25" spans="2:33" ht="13" outlineLevel="1" x14ac:dyDescent="0.15">
      <c r="B25" s="16">
        <v>250</v>
      </c>
      <c r="C25" s="1" t="s">
        <v>56</v>
      </c>
      <c r="D25" s="2">
        <v>145633</v>
      </c>
      <c r="E25" s="2">
        <v>117387</v>
      </c>
      <c r="F25" s="4">
        <v>0.81</v>
      </c>
      <c r="G25" s="2">
        <v>28246</v>
      </c>
      <c r="H25" s="4">
        <v>0.19</v>
      </c>
      <c r="I25" s="2">
        <v>0</v>
      </c>
      <c r="J25" s="17">
        <v>26850</v>
      </c>
      <c r="K25" s="2">
        <f t="shared" si="0"/>
        <v>1396</v>
      </c>
      <c r="L25" s="18">
        <f t="shared" si="1"/>
        <v>2208.8235294117644</v>
      </c>
      <c r="M25" s="2">
        <v>751</v>
      </c>
      <c r="N25" s="19">
        <v>0.61</v>
      </c>
      <c r="O25" s="4">
        <v>0.56000000000000005</v>
      </c>
      <c r="P25" s="20">
        <v>1.08</v>
      </c>
      <c r="Q25" s="21">
        <f t="shared" si="2"/>
        <v>96303.484497499958</v>
      </c>
      <c r="R25" s="22">
        <f t="shared" si="3"/>
        <v>99287.391937499953</v>
      </c>
      <c r="S25" s="2">
        <f t="shared" si="4"/>
        <v>-2983.9074399999954</v>
      </c>
      <c r="T25" s="2">
        <f t="shared" si="5"/>
        <v>661.27515396579042</v>
      </c>
      <c r="U25" s="23">
        <f t="shared" si="6"/>
        <v>269099.2165178571</v>
      </c>
      <c r="V25" s="23">
        <f t="shared" si="7"/>
        <v>152603.1</v>
      </c>
      <c r="W25" s="23">
        <f t="shared" si="8"/>
        <v>4400.9644017857136</v>
      </c>
      <c r="X25" s="23">
        <f t="shared" si="9"/>
        <v>12807.760178571427</v>
      </c>
      <c r="Y25" s="23">
        <f t="shared" si="10"/>
        <v>272505.53571428568</v>
      </c>
      <c r="Z25" s="23">
        <f t="shared" si="11"/>
        <v>258880.25892857139</v>
      </c>
      <c r="AA25" s="23">
        <f t="shared" si="12"/>
        <v>2321.4285714285711</v>
      </c>
      <c r="AB25" s="24">
        <f t="shared" si="13"/>
        <v>0.56000000000000005</v>
      </c>
      <c r="AC25" s="23">
        <f t="shared" si="14"/>
        <v>33895.199999999997</v>
      </c>
      <c r="AD25" s="23">
        <f t="shared" si="15"/>
        <v>36719.799999999996</v>
      </c>
      <c r="AE25" s="23">
        <f t="shared" si="16"/>
        <v>159.30744000000001</v>
      </c>
      <c r="AF25" s="23">
        <f t="shared" si="17"/>
        <v>33895.199999999997</v>
      </c>
      <c r="AG25" s="23">
        <f t="shared" si="18"/>
        <v>33895.199999999997</v>
      </c>
    </row>
    <row r="26" spans="2:33" ht="13" outlineLevel="1" x14ac:dyDescent="0.15">
      <c r="B26" s="16">
        <v>250</v>
      </c>
      <c r="C26" s="1" t="s">
        <v>57</v>
      </c>
      <c r="D26" s="2">
        <v>145512</v>
      </c>
      <c r="E26" s="2">
        <v>95059</v>
      </c>
      <c r="F26" s="4">
        <v>0.65</v>
      </c>
      <c r="G26" s="2">
        <v>50453</v>
      </c>
      <c r="H26" s="4">
        <v>0.35</v>
      </c>
      <c r="I26" s="2">
        <v>0</v>
      </c>
      <c r="J26" s="17">
        <v>48879</v>
      </c>
      <c r="K26" s="2">
        <f t="shared" si="0"/>
        <v>1574</v>
      </c>
      <c r="L26" s="18">
        <f t="shared" si="1"/>
        <v>2976.4705882352937</v>
      </c>
      <c r="M26" s="2">
        <v>1012</v>
      </c>
      <c r="N26" s="19">
        <v>0.52</v>
      </c>
      <c r="O26" s="4">
        <v>0.41</v>
      </c>
      <c r="P26" s="20">
        <v>1.08</v>
      </c>
      <c r="Q26" s="21">
        <f t="shared" si="2"/>
        <v>149698.62226292683</v>
      </c>
      <c r="R26" s="22">
        <f t="shared" si="3"/>
        <v>155028.47718292684</v>
      </c>
      <c r="S26" s="2">
        <f t="shared" si="4"/>
        <v>-5329.8549199999979</v>
      </c>
      <c r="T26" s="2">
        <f t="shared" si="5"/>
        <v>1028.7716632506379</v>
      </c>
      <c r="U26" s="23">
        <f t="shared" si="6"/>
        <v>297639.00304878049</v>
      </c>
      <c r="V26" s="23">
        <f t="shared" si="7"/>
        <v>123576.7</v>
      </c>
      <c r="W26" s="23">
        <f t="shared" si="8"/>
        <v>4867.7163536585367</v>
      </c>
      <c r="X26" s="23">
        <f t="shared" si="9"/>
        <v>14166.109512195122</v>
      </c>
      <c r="Y26" s="23">
        <f t="shared" si="10"/>
        <v>301406.58536585368</v>
      </c>
      <c r="Z26" s="23">
        <f t="shared" si="11"/>
        <v>286336.25609756098</v>
      </c>
      <c r="AA26" s="23">
        <f t="shared" si="12"/>
        <v>3170.7317073170734</v>
      </c>
      <c r="AB26" s="24">
        <f t="shared" si="13"/>
        <v>0.41</v>
      </c>
      <c r="AC26" s="23">
        <f t="shared" si="14"/>
        <v>60543.600000000006</v>
      </c>
      <c r="AD26" s="23">
        <f t="shared" si="15"/>
        <v>65588.900000000009</v>
      </c>
      <c r="AE26" s="23">
        <f t="shared" si="16"/>
        <v>284.55492000000004</v>
      </c>
      <c r="AF26" s="23">
        <f t="shared" si="17"/>
        <v>60543.600000000006</v>
      </c>
      <c r="AG26" s="23">
        <f t="shared" si="18"/>
        <v>60543.600000000006</v>
      </c>
    </row>
    <row r="27" spans="2:33" ht="13" outlineLevel="1" x14ac:dyDescent="0.15">
      <c r="B27" s="16">
        <v>250</v>
      </c>
      <c r="C27" s="1" t="s">
        <v>58</v>
      </c>
      <c r="D27" s="2">
        <v>127161</v>
      </c>
      <c r="E27" s="2">
        <v>80559</v>
      </c>
      <c r="F27" s="4">
        <v>0.63</v>
      </c>
      <c r="G27" s="2">
        <v>46602</v>
      </c>
      <c r="H27" s="4">
        <v>0.37</v>
      </c>
      <c r="I27" s="2">
        <v>0</v>
      </c>
      <c r="J27" s="17">
        <v>45085</v>
      </c>
      <c r="K27" s="2">
        <f t="shared" si="0"/>
        <v>1517</v>
      </c>
      <c r="L27" s="18">
        <f t="shared" si="1"/>
        <v>2952.9411764705878</v>
      </c>
      <c r="M27" s="2">
        <v>1004</v>
      </c>
      <c r="N27" s="19">
        <v>0.54</v>
      </c>
      <c r="O27" s="4">
        <v>0.41</v>
      </c>
      <c r="P27" s="20">
        <v>1.08</v>
      </c>
      <c r="Q27" s="21">
        <f t="shared" si="2"/>
        <v>126457.88702487806</v>
      </c>
      <c r="R27" s="22">
        <f t="shared" si="3"/>
        <v>131380.92230487807</v>
      </c>
      <c r="S27" s="2">
        <f t="shared" si="4"/>
        <v>-4923.0352800000037</v>
      </c>
      <c r="T27" s="2">
        <f t="shared" si="5"/>
        <v>994.47068696281133</v>
      </c>
      <c r="U27" s="23">
        <f t="shared" si="6"/>
        <v>252238.08841463417</v>
      </c>
      <c r="V27" s="23">
        <f t="shared" si="7"/>
        <v>104726.7</v>
      </c>
      <c r="W27" s="23">
        <f t="shared" si="8"/>
        <v>4125.2102560975609</v>
      </c>
      <c r="X27" s="23">
        <f t="shared" si="9"/>
        <v>12005.255853658537</v>
      </c>
      <c r="Y27" s="23">
        <f t="shared" si="10"/>
        <v>255430.9756097561</v>
      </c>
      <c r="Z27" s="23">
        <f t="shared" si="11"/>
        <v>242659.42682926828</v>
      </c>
      <c r="AA27" s="23">
        <f t="shared" si="12"/>
        <v>3170.7317073170734</v>
      </c>
      <c r="AB27" s="24">
        <f t="shared" si="13"/>
        <v>0.41</v>
      </c>
      <c r="AC27" s="23">
        <f t="shared" si="14"/>
        <v>55922.399999999994</v>
      </c>
      <c r="AD27" s="23">
        <f t="shared" si="15"/>
        <v>60582.6</v>
      </c>
      <c r="AE27" s="23">
        <f t="shared" si="16"/>
        <v>262.83527999999995</v>
      </c>
      <c r="AF27" s="23">
        <f t="shared" si="17"/>
        <v>55922.399999999994</v>
      </c>
      <c r="AG27" s="23">
        <f t="shared" si="18"/>
        <v>55922.399999999994</v>
      </c>
    </row>
    <row r="28" spans="2:33" ht="13" outlineLevel="1" x14ac:dyDescent="0.15">
      <c r="B28" s="16">
        <v>250</v>
      </c>
      <c r="C28" s="1" t="s">
        <v>59</v>
      </c>
      <c r="D28" s="2">
        <v>126822</v>
      </c>
      <c r="E28" s="2">
        <v>85779</v>
      </c>
      <c r="F28" s="4">
        <v>0.68</v>
      </c>
      <c r="G28" s="2">
        <v>41043</v>
      </c>
      <c r="H28" s="4">
        <v>0.32</v>
      </c>
      <c r="I28" s="2">
        <v>0</v>
      </c>
      <c r="J28" s="17">
        <v>39317</v>
      </c>
      <c r="K28" s="2">
        <f t="shared" si="0"/>
        <v>1726</v>
      </c>
      <c r="L28" s="18">
        <f t="shared" si="1"/>
        <v>3467.6470588235293</v>
      </c>
      <c r="M28" s="2">
        <v>1179</v>
      </c>
      <c r="N28" s="19">
        <v>0.45</v>
      </c>
      <c r="O28" s="4">
        <v>0.35</v>
      </c>
      <c r="P28" s="20">
        <v>1.08</v>
      </c>
      <c r="Q28" s="21">
        <f t="shared" si="2"/>
        <v>178656.55817999999</v>
      </c>
      <c r="R28" s="22">
        <f t="shared" si="3"/>
        <v>182992.3407</v>
      </c>
      <c r="S28" s="2">
        <f t="shared" si="4"/>
        <v>-4335.7825200000007</v>
      </c>
      <c r="T28" s="2">
        <f t="shared" si="5"/>
        <v>1408.7189776221792</v>
      </c>
      <c r="U28" s="23">
        <f t="shared" si="6"/>
        <v>314625.11785714288</v>
      </c>
      <c r="V28" s="23">
        <f t="shared" si="7"/>
        <v>111512.7</v>
      </c>
      <c r="W28" s="23">
        <f t="shared" si="8"/>
        <v>5145.514585714287</v>
      </c>
      <c r="X28" s="23">
        <f t="shared" si="9"/>
        <v>14974.562571428572</v>
      </c>
      <c r="Y28" s="23">
        <f t="shared" si="10"/>
        <v>318607.71428571432</v>
      </c>
      <c r="Z28" s="23">
        <f t="shared" si="11"/>
        <v>302677.3285714286</v>
      </c>
      <c r="AA28" s="23">
        <f t="shared" si="12"/>
        <v>3714.2857142857147</v>
      </c>
      <c r="AB28" s="24">
        <f t="shared" si="13"/>
        <v>0.35</v>
      </c>
      <c r="AC28" s="23">
        <f t="shared" si="14"/>
        <v>49251.6</v>
      </c>
      <c r="AD28" s="23">
        <f t="shared" si="15"/>
        <v>53355.9</v>
      </c>
      <c r="AE28" s="23">
        <f t="shared" si="16"/>
        <v>231.48251999999999</v>
      </c>
      <c r="AF28" s="23">
        <f t="shared" si="17"/>
        <v>49251.6</v>
      </c>
      <c r="AG28" s="23">
        <f t="shared" si="18"/>
        <v>49251.6</v>
      </c>
    </row>
    <row r="29" spans="2:33" ht="13" outlineLevel="1" x14ac:dyDescent="0.15">
      <c r="B29" s="16">
        <v>250</v>
      </c>
      <c r="C29" s="1" t="s">
        <v>60</v>
      </c>
      <c r="D29" s="2">
        <v>127994</v>
      </c>
      <c r="E29" s="2">
        <v>84544</v>
      </c>
      <c r="F29" s="4">
        <v>0.66</v>
      </c>
      <c r="G29" s="2">
        <v>43450</v>
      </c>
      <c r="H29" s="4">
        <v>0.34</v>
      </c>
      <c r="I29" s="2">
        <v>0</v>
      </c>
      <c r="J29" s="17">
        <v>41951</v>
      </c>
      <c r="K29" s="2">
        <f t="shared" si="0"/>
        <v>1499</v>
      </c>
      <c r="L29" s="18">
        <f t="shared" si="1"/>
        <v>4426.4705882352937</v>
      </c>
      <c r="M29" s="2">
        <v>1505</v>
      </c>
      <c r="N29" s="19">
        <v>0.37</v>
      </c>
      <c r="O29" s="4">
        <v>0.27</v>
      </c>
      <c r="P29" s="20">
        <v>1.08</v>
      </c>
      <c r="Q29" s="21">
        <f t="shared" si="2"/>
        <v>261772.07651851844</v>
      </c>
      <c r="R29" s="22">
        <f t="shared" si="3"/>
        <v>266362.13451851846</v>
      </c>
      <c r="S29" s="2">
        <f t="shared" si="4"/>
        <v>-4590.0580000000045</v>
      </c>
      <c r="T29" s="2">
        <f t="shared" si="5"/>
        <v>2045.1902160923048</v>
      </c>
      <c r="U29" s="23">
        <f t="shared" si="6"/>
        <v>401975.40740740736</v>
      </c>
      <c r="V29" s="23">
        <f t="shared" si="7"/>
        <v>109907.2</v>
      </c>
      <c r="W29" s="23">
        <f t="shared" si="8"/>
        <v>6574.0788148148149</v>
      </c>
      <c r="X29" s="23">
        <f t="shared" si="9"/>
        <v>19131.994074074075</v>
      </c>
      <c r="Y29" s="23">
        <f t="shared" si="10"/>
        <v>407063.70370370371</v>
      </c>
      <c r="Z29" s="23">
        <f t="shared" si="11"/>
        <v>386710.51851851848</v>
      </c>
      <c r="AA29" s="23">
        <f t="shared" si="12"/>
        <v>4814.8148148148148</v>
      </c>
      <c r="AB29" s="24">
        <f t="shared" si="13"/>
        <v>0.27</v>
      </c>
      <c r="AC29" s="23">
        <f t="shared" si="14"/>
        <v>52140</v>
      </c>
      <c r="AD29" s="23">
        <f t="shared" si="15"/>
        <v>56485.000000000007</v>
      </c>
      <c r="AE29" s="23">
        <f t="shared" si="16"/>
        <v>245.05799999999999</v>
      </c>
      <c r="AF29" s="23">
        <f t="shared" si="17"/>
        <v>52140</v>
      </c>
      <c r="AG29" s="23">
        <f t="shared" si="18"/>
        <v>52140</v>
      </c>
    </row>
    <row r="30" spans="2:33" ht="13" outlineLevel="1" x14ac:dyDescent="0.15">
      <c r="B30" s="16">
        <v>250</v>
      </c>
      <c r="C30" s="1" t="s">
        <v>61</v>
      </c>
      <c r="D30" s="2">
        <v>107547</v>
      </c>
      <c r="E30" s="2">
        <v>74262</v>
      </c>
      <c r="F30" s="4">
        <v>0.69</v>
      </c>
      <c r="G30" s="2">
        <v>33285</v>
      </c>
      <c r="H30" s="4">
        <v>0.31</v>
      </c>
      <c r="I30" s="2">
        <v>0</v>
      </c>
      <c r="J30" s="17">
        <v>32092</v>
      </c>
      <c r="K30" s="2">
        <f t="shared" si="0"/>
        <v>1193</v>
      </c>
      <c r="L30" s="18">
        <f t="shared" si="1"/>
        <v>4514.7058823529405</v>
      </c>
      <c r="M30" s="2">
        <v>1535</v>
      </c>
      <c r="N30" s="19">
        <v>0.35</v>
      </c>
      <c r="O30" s="4">
        <v>0.27</v>
      </c>
      <c r="P30" s="20">
        <v>1.08</v>
      </c>
      <c r="Q30" s="21">
        <f t="shared" si="2"/>
        <v>230451.70448888882</v>
      </c>
      <c r="R30" s="22">
        <f t="shared" si="3"/>
        <v>233967.93188888882</v>
      </c>
      <c r="S30" s="2">
        <f t="shared" si="4"/>
        <v>-3516.2274000000034</v>
      </c>
      <c r="T30" s="2">
        <f t="shared" si="5"/>
        <v>2142.7999338790373</v>
      </c>
      <c r="U30" s="23">
        <f t="shared" si="6"/>
        <v>353088.3055555555</v>
      </c>
      <c r="V30" s="23">
        <f t="shared" si="7"/>
        <v>96540.6</v>
      </c>
      <c r="W30" s="23">
        <f t="shared" si="8"/>
        <v>5774.5581111111114</v>
      </c>
      <c r="X30" s="23">
        <f t="shared" si="9"/>
        <v>16805.215555555555</v>
      </c>
      <c r="Y30" s="23">
        <f t="shared" si="10"/>
        <v>357557.77777777775</v>
      </c>
      <c r="Z30" s="23">
        <f t="shared" si="11"/>
        <v>339679.88888888888</v>
      </c>
      <c r="AA30" s="23">
        <f t="shared" si="12"/>
        <v>4814.8148148148148</v>
      </c>
      <c r="AB30" s="24">
        <f t="shared" si="13"/>
        <v>0.27</v>
      </c>
      <c r="AC30" s="23">
        <f t="shared" si="14"/>
        <v>39941.999999999993</v>
      </c>
      <c r="AD30" s="23">
        <f t="shared" si="15"/>
        <v>43270.499999999993</v>
      </c>
      <c r="AE30" s="23">
        <f t="shared" si="16"/>
        <v>187.72739999999999</v>
      </c>
      <c r="AF30" s="23">
        <f t="shared" si="17"/>
        <v>39941.999999999993</v>
      </c>
      <c r="AG30" s="23">
        <f t="shared" si="18"/>
        <v>39941.999999999993</v>
      </c>
    </row>
    <row r="31" spans="2:33" ht="13" outlineLevel="1" x14ac:dyDescent="0.15">
      <c r="B31" s="16">
        <v>250</v>
      </c>
      <c r="C31" s="1" t="s">
        <v>62</v>
      </c>
      <c r="D31" s="2">
        <v>124057</v>
      </c>
      <c r="E31" s="2">
        <v>80692</v>
      </c>
      <c r="F31" s="4">
        <v>0.65</v>
      </c>
      <c r="G31" s="2">
        <v>43365</v>
      </c>
      <c r="H31" s="4">
        <v>0.35</v>
      </c>
      <c r="I31" s="2">
        <v>0</v>
      </c>
      <c r="J31" s="17">
        <v>41992</v>
      </c>
      <c r="K31" s="2">
        <f t="shared" si="0"/>
        <v>1373</v>
      </c>
      <c r="L31" s="18">
        <f t="shared" si="1"/>
        <v>4235.2941176470586</v>
      </c>
      <c r="M31" s="2">
        <v>1440</v>
      </c>
      <c r="N31" s="19">
        <v>0.39</v>
      </c>
      <c r="O31" s="4">
        <v>0.28999999999999998</v>
      </c>
      <c r="P31" s="20">
        <v>1.08</v>
      </c>
      <c r="Q31" s="21">
        <f t="shared" si="2"/>
        <v>224877.7533310345</v>
      </c>
      <c r="R31" s="22">
        <f t="shared" si="3"/>
        <v>229458.83193103451</v>
      </c>
      <c r="S31" s="2">
        <f t="shared" si="4"/>
        <v>-4581.0786000000007</v>
      </c>
      <c r="T31" s="2">
        <f t="shared" si="5"/>
        <v>1812.6970129136971</v>
      </c>
      <c r="U31" s="23">
        <f t="shared" si="6"/>
        <v>357201.22413793107</v>
      </c>
      <c r="V31" s="23">
        <f t="shared" si="7"/>
        <v>104899.59999999999</v>
      </c>
      <c r="W31" s="23">
        <f t="shared" si="8"/>
        <v>5841.822551724139</v>
      </c>
      <c r="X31" s="23">
        <f t="shared" si="9"/>
        <v>17000.969655172416</v>
      </c>
      <c r="Y31" s="23">
        <f t="shared" si="10"/>
        <v>361722.75862068968</v>
      </c>
      <c r="Z31" s="23">
        <f t="shared" si="11"/>
        <v>343636.62068965519</v>
      </c>
      <c r="AA31" s="23">
        <f t="shared" si="12"/>
        <v>4482.7586206896558</v>
      </c>
      <c r="AB31" s="24">
        <f t="shared" si="13"/>
        <v>0.28999999999999998</v>
      </c>
      <c r="AC31" s="23">
        <f t="shared" si="14"/>
        <v>52038</v>
      </c>
      <c r="AD31" s="23">
        <f t="shared" si="15"/>
        <v>56374.5</v>
      </c>
      <c r="AE31" s="23">
        <f t="shared" si="16"/>
        <v>244.57860000000002</v>
      </c>
      <c r="AF31" s="23">
        <f t="shared" si="17"/>
        <v>52038</v>
      </c>
      <c r="AG31" s="23">
        <f t="shared" si="18"/>
        <v>52038</v>
      </c>
    </row>
    <row r="32" spans="2:33" ht="13" outlineLevel="1" x14ac:dyDescent="0.15">
      <c r="B32" s="16">
        <v>250</v>
      </c>
      <c r="C32" s="1" t="s">
        <v>63</v>
      </c>
      <c r="D32" s="2">
        <v>139621</v>
      </c>
      <c r="E32" s="2">
        <v>91279</v>
      </c>
      <c r="F32" s="4">
        <v>0.65</v>
      </c>
      <c r="G32" s="2">
        <v>48342</v>
      </c>
      <c r="H32" s="4">
        <v>0.35</v>
      </c>
      <c r="I32" s="2">
        <v>0</v>
      </c>
      <c r="J32" s="17">
        <v>46804</v>
      </c>
      <c r="K32" s="2">
        <f t="shared" si="0"/>
        <v>1538</v>
      </c>
      <c r="L32" s="18">
        <f t="shared" si="1"/>
        <v>3485.2941176470586</v>
      </c>
      <c r="M32" s="2">
        <v>1185</v>
      </c>
      <c r="N32" s="19">
        <v>0.46</v>
      </c>
      <c r="O32" s="4">
        <v>0.35</v>
      </c>
      <c r="P32" s="20">
        <v>1.08</v>
      </c>
      <c r="Q32" s="21">
        <f t="shared" si="2"/>
        <v>189618.64182000005</v>
      </c>
      <c r="R32" s="22">
        <f t="shared" si="3"/>
        <v>194725.49070000005</v>
      </c>
      <c r="S32" s="2">
        <f t="shared" si="4"/>
        <v>-5106.8488799999977</v>
      </c>
      <c r="T32" s="2">
        <f t="shared" si="5"/>
        <v>1358.0954284813893</v>
      </c>
      <c r="U32" s="23">
        <f t="shared" si="6"/>
        <v>334798.33214285719</v>
      </c>
      <c r="V32" s="23">
        <f t="shared" si="7"/>
        <v>118662.7</v>
      </c>
      <c r="W32" s="23">
        <f t="shared" si="8"/>
        <v>5475.4360142857149</v>
      </c>
      <c r="X32" s="23">
        <f t="shared" si="9"/>
        <v>15934.705428571429</v>
      </c>
      <c r="Y32" s="23">
        <f t="shared" si="10"/>
        <v>339036.28571428574</v>
      </c>
      <c r="Z32" s="23">
        <f t="shared" si="11"/>
        <v>322084.47142857144</v>
      </c>
      <c r="AA32" s="23">
        <f t="shared" si="12"/>
        <v>3714.2857142857147</v>
      </c>
      <c r="AB32" s="24">
        <f t="shared" si="13"/>
        <v>0.35</v>
      </c>
      <c r="AC32" s="23">
        <f t="shared" si="14"/>
        <v>58010.400000000001</v>
      </c>
      <c r="AD32" s="23">
        <f t="shared" si="15"/>
        <v>62844.6</v>
      </c>
      <c r="AE32" s="23">
        <f t="shared" si="16"/>
        <v>272.64888000000002</v>
      </c>
      <c r="AF32" s="23">
        <f t="shared" si="17"/>
        <v>58010.400000000001</v>
      </c>
      <c r="AG32" s="23">
        <f t="shared" si="18"/>
        <v>58010.400000000001</v>
      </c>
    </row>
    <row r="33" spans="2:33" ht="13" outlineLevel="1" x14ac:dyDescent="0.15">
      <c r="B33" s="16">
        <v>250</v>
      </c>
      <c r="C33" s="1" t="s">
        <v>64</v>
      </c>
      <c r="D33" s="2">
        <v>130890</v>
      </c>
      <c r="E33" s="2">
        <v>83973</v>
      </c>
      <c r="F33" s="4">
        <v>0.64</v>
      </c>
      <c r="G33" s="2">
        <v>46917</v>
      </c>
      <c r="H33" s="4">
        <v>0.36</v>
      </c>
      <c r="I33" s="2">
        <v>0</v>
      </c>
      <c r="J33" s="17">
        <v>45526</v>
      </c>
      <c r="K33" s="2">
        <f t="shared" si="0"/>
        <v>1391</v>
      </c>
      <c r="L33" s="18">
        <f t="shared" si="1"/>
        <v>3176.4705882352937</v>
      </c>
      <c r="M33" s="2">
        <v>1080</v>
      </c>
      <c r="N33" s="19">
        <v>0.5</v>
      </c>
      <c r="O33" s="4">
        <v>0.38</v>
      </c>
      <c r="P33" s="20">
        <v>1.08</v>
      </c>
      <c r="Q33" s="21">
        <f t="shared" si="2"/>
        <v>151422.40737000003</v>
      </c>
      <c r="R33" s="22">
        <f t="shared" si="3"/>
        <v>156378.71925000002</v>
      </c>
      <c r="S33" s="2">
        <f t="shared" si="4"/>
        <v>-4956.3118799999938</v>
      </c>
      <c r="T33" s="2">
        <f t="shared" si="5"/>
        <v>1156.8676550538623</v>
      </c>
      <c r="U33" s="23">
        <f t="shared" si="6"/>
        <v>283685.10197368421</v>
      </c>
      <c r="V33" s="23">
        <f t="shared" si="7"/>
        <v>109164.9</v>
      </c>
      <c r="W33" s="23">
        <f t="shared" si="8"/>
        <v>4639.5082500000008</v>
      </c>
      <c r="X33" s="23">
        <f t="shared" si="9"/>
        <v>13501.974473684209</v>
      </c>
      <c r="Y33" s="23">
        <f t="shared" si="10"/>
        <v>287276.05263157893</v>
      </c>
      <c r="Z33" s="23">
        <f t="shared" si="11"/>
        <v>272912.25</v>
      </c>
      <c r="AA33" s="23">
        <f t="shared" si="12"/>
        <v>3421.0526315789475</v>
      </c>
      <c r="AB33" s="24">
        <f t="shared" si="13"/>
        <v>0.38</v>
      </c>
      <c r="AC33" s="23">
        <f t="shared" si="14"/>
        <v>56300.4</v>
      </c>
      <c r="AD33" s="23">
        <f t="shared" si="15"/>
        <v>60992.1</v>
      </c>
      <c r="AE33" s="23">
        <f t="shared" si="16"/>
        <v>264.61188000000004</v>
      </c>
      <c r="AF33" s="23">
        <f t="shared" si="17"/>
        <v>56300.4</v>
      </c>
      <c r="AG33" s="23">
        <f t="shared" si="18"/>
        <v>56300.4</v>
      </c>
    </row>
    <row r="34" spans="2:33" ht="13" outlineLevel="1" x14ac:dyDescent="0.15">
      <c r="B34" s="16">
        <v>250</v>
      </c>
      <c r="C34" s="1" t="s">
        <v>65</v>
      </c>
      <c r="D34" s="2">
        <v>122653</v>
      </c>
      <c r="E34" s="2">
        <v>75267</v>
      </c>
      <c r="F34" s="4">
        <v>0.61</v>
      </c>
      <c r="G34" s="2">
        <v>47386</v>
      </c>
      <c r="H34" s="4">
        <v>0.39</v>
      </c>
      <c r="I34" s="2">
        <v>0</v>
      </c>
      <c r="J34" s="17">
        <v>46046</v>
      </c>
      <c r="K34" s="2">
        <f t="shared" si="0"/>
        <v>1340</v>
      </c>
      <c r="L34" s="18">
        <f t="shared" si="1"/>
        <v>3679.411764705882</v>
      </c>
      <c r="M34" s="2">
        <v>1251</v>
      </c>
      <c r="N34" s="19">
        <v>0.45</v>
      </c>
      <c r="O34" s="4">
        <v>0.33</v>
      </c>
      <c r="P34" s="20">
        <v>1.08</v>
      </c>
      <c r="Q34" s="21">
        <f t="shared" si="2"/>
        <v>171222.70018727271</v>
      </c>
      <c r="R34" s="22">
        <f t="shared" si="3"/>
        <v>176228.55722727271</v>
      </c>
      <c r="S34" s="2">
        <f t="shared" si="4"/>
        <v>-5005.8570399999953</v>
      </c>
      <c r="T34" s="2">
        <f t="shared" si="5"/>
        <v>1395.9927615897916</v>
      </c>
      <c r="U34" s="23">
        <f t="shared" si="6"/>
        <v>292800.03409090906</v>
      </c>
      <c r="V34" s="23">
        <f t="shared" si="7"/>
        <v>97847.099999999991</v>
      </c>
      <c r="W34" s="23">
        <f t="shared" si="8"/>
        <v>4788.5777727272725</v>
      </c>
      <c r="X34" s="23">
        <f t="shared" si="9"/>
        <v>13935.79909090909</v>
      </c>
      <c r="Y34" s="23">
        <f t="shared" si="10"/>
        <v>296506.36363636359</v>
      </c>
      <c r="Z34" s="23">
        <f t="shared" si="11"/>
        <v>281681.04545454541</v>
      </c>
      <c r="AA34" s="23">
        <f t="shared" si="12"/>
        <v>3939.393939393939</v>
      </c>
      <c r="AB34" s="24">
        <f t="shared" si="13"/>
        <v>0.33</v>
      </c>
      <c r="AC34" s="23">
        <f t="shared" si="14"/>
        <v>56863.200000000004</v>
      </c>
      <c r="AD34" s="23">
        <f t="shared" si="15"/>
        <v>61601.8</v>
      </c>
      <c r="AE34" s="23">
        <f t="shared" si="16"/>
        <v>267.25704000000002</v>
      </c>
      <c r="AF34" s="23">
        <f t="shared" si="17"/>
        <v>56863.200000000004</v>
      </c>
      <c r="AG34" s="23">
        <f t="shared" si="18"/>
        <v>56863.200000000004</v>
      </c>
    </row>
    <row r="35" spans="2:33" ht="15" x14ac:dyDescent="0.2">
      <c r="B35" s="30" t="s">
        <v>68</v>
      </c>
      <c r="C35" s="28" t="s">
        <v>66</v>
      </c>
      <c r="D35" s="28" t="s">
        <v>66</v>
      </c>
      <c r="E35" s="28" t="s">
        <v>66</v>
      </c>
      <c r="F35" s="4"/>
      <c r="G35" s="28" t="s">
        <v>66</v>
      </c>
      <c r="H35" s="4"/>
      <c r="I35" s="28" t="s">
        <v>69</v>
      </c>
      <c r="J35" s="29" t="s">
        <v>67</v>
      </c>
      <c r="K35" s="29" t="s">
        <v>71</v>
      </c>
      <c r="L35" s="29" t="s">
        <v>71</v>
      </c>
      <c r="M35" s="29" t="s">
        <v>66</v>
      </c>
      <c r="N35" s="29" t="s">
        <v>70</v>
      </c>
      <c r="O35" s="31" t="s">
        <v>72</v>
      </c>
      <c r="P35" s="32" t="s">
        <v>71</v>
      </c>
      <c r="Q35" s="32" t="s">
        <v>71</v>
      </c>
      <c r="R35" s="32" t="s">
        <v>71</v>
      </c>
      <c r="S35" s="32" t="s">
        <v>71</v>
      </c>
      <c r="T35" s="32" t="s">
        <v>71</v>
      </c>
      <c r="U35" s="32" t="s">
        <v>71</v>
      </c>
      <c r="V35" s="32" t="s">
        <v>71</v>
      </c>
      <c r="W35" s="32" t="s">
        <v>71</v>
      </c>
      <c r="X35" s="32" t="s">
        <v>71</v>
      </c>
      <c r="Y35" s="32" t="s">
        <v>71</v>
      </c>
      <c r="Z35" s="32" t="s">
        <v>71</v>
      </c>
      <c r="AA35" s="32" t="s">
        <v>71</v>
      </c>
      <c r="AB35" s="32" t="s">
        <v>71</v>
      </c>
      <c r="AC35" s="32" t="s">
        <v>71</v>
      </c>
      <c r="AD35" s="32" t="s">
        <v>71</v>
      </c>
      <c r="AE35" s="32" t="s">
        <v>71</v>
      </c>
      <c r="AF35" s="32" t="s">
        <v>71</v>
      </c>
      <c r="AG35" s="32" t="s">
        <v>71</v>
      </c>
    </row>
    <row r="36" spans="2:33" ht="13" x14ac:dyDescent="0.15">
      <c r="W36" s="2"/>
      <c r="Y36" s="2"/>
      <c r="Z36" s="2"/>
    </row>
    <row r="37" spans="2:33" ht="13" x14ac:dyDescent="0.15">
      <c r="W37" s="2"/>
      <c r="Y37" s="2"/>
      <c r="Z37" s="2"/>
    </row>
    <row r="38" spans="2:33" ht="13" x14ac:dyDescent="0.15">
      <c r="W38" s="2"/>
      <c r="Y38" s="2"/>
      <c r="Z38" s="2"/>
    </row>
    <row r="39" spans="2:33" ht="13" x14ac:dyDescent="0.15">
      <c r="W39" s="2"/>
      <c r="Y39" s="2"/>
      <c r="Z39" s="2"/>
    </row>
    <row r="40" spans="2:33" ht="13" x14ac:dyDescent="0.15">
      <c r="W40" s="2"/>
      <c r="Y40" s="2"/>
      <c r="Z40" s="2"/>
    </row>
    <row r="41" spans="2:33" ht="13" x14ac:dyDescent="0.15">
      <c r="W41" s="2"/>
      <c r="Y41" s="2"/>
      <c r="Z41" s="2"/>
    </row>
    <row r="42" spans="2:33" ht="13" x14ac:dyDescent="0.15">
      <c r="W42" s="2"/>
      <c r="Y42" s="2"/>
      <c r="Z42" s="2"/>
    </row>
    <row r="43" spans="2:33" ht="13" x14ac:dyDescent="0.15">
      <c r="W43" s="2"/>
      <c r="Y43" s="2"/>
      <c r="Z43" s="2"/>
    </row>
    <row r="44" spans="2:33" ht="13" x14ac:dyDescent="0.15">
      <c r="W44" s="2"/>
      <c r="Y44" s="2"/>
      <c r="Z44" s="2"/>
    </row>
    <row r="45" spans="2:33" ht="13" x14ac:dyDescent="0.15">
      <c r="W45" s="2"/>
      <c r="Y45" s="2"/>
      <c r="Z45" s="2"/>
    </row>
    <row r="46" spans="2:33" ht="13" x14ac:dyDescent="0.15">
      <c r="W46" s="2"/>
      <c r="Y46" s="2"/>
      <c r="Z46" s="2"/>
    </row>
    <row r="47" spans="2:33" ht="13" x14ac:dyDescent="0.15">
      <c r="W47" s="2"/>
      <c r="Y47" s="2"/>
      <c r="Z47" s="2"/>
    </row>
    <row r="48" spans="2:33" ht="13" x14ac:dyDescent="0.15">
      <c r="W48" s="2"/>
      <c r="Y48" s="2"/>
      <c r="Z48" s="2"/>
    </row>
    <row r="49" spans="23:26" ht="13" x14ac:dyDescent="0.15">
      <c r="W49" s="2"/>
      <c r="Y49" s="2"/>
      <c r="Z49" s="2"/>
    </row>
    <row r="50" spans="23:26" ht="13" x14ac:dyDescent="0.15">
      <c r="W50" s="2"/>
      <c r="Y50" s="2"/>
      <c r="Z50" s="2"/>
    </row>
    <row r="51" spans="23:26" ht="13" x14ac:dyDescent="0.15">
      <c r="W51" s="2"/>
      <c r="Y51" s="2"/>
      <c r="Z51" s="2"/>
    </row>
    <row r="52" spans="23:26" ht="13" x14ac:dyDescent="0.15">
      <c r="W52" s="2"/>
      <c r="Y52" s="2"/>
      <c r="Z52" s="2"/>
    </row>
    <row r="53" spans="23:26" ht="13" x14ac:dyDescent="0.15">
      <c r="W53" s="2"/>
      <c r="Y53" s="2"/>
      <c r="Z53" s="2"/>
    </row>
    <row r="54" spans="23:26" ht="13" x14ac:dyDescent="0.15">
      <c r="W54" s="2"/>
      <c r="Y54" s="2"/>
      <c r="Z54" s="2"/>
    </row>
    <row r="55" spans="23:26" ht="13" x14ac:dyDescent="0.15">
      <c r="W55" s="2"/>
      <c r="Y55" s="2"/>
      <c r="Z55" s="2"/>
    </row>
    <row r="56" spans="23:26" ht="13" x14ac:dyDescent="0.15">
      <c r="W56" s="2"/>
      <c r="Y56" s="2"/>
      <c r="Z56" s="2"/>
    </row>
    <row r="57" spans="23:26" ht="13" x14ac:dyDescent="0.15">
      <c r="W57" s="2"/>
      <c r="Y57" s="2"/>
      <c r="Z57" s="2"/>
    </row>
    <row r="58" spans="23:26" ht="13" x14ac:dyDescent="0.15">
      <c r="W58" s="2"/>
      <c r="Y58" s="2"/>
      <c r="Z58" s="2"/>
    </row>
    <row r="59" spans="23:26" ht="13" x14ac:dyDescent="0.15">
      <c r="W59" s="2"/>
      <c r="Y59" s="2"/>
      <c r="Z59" s="2"/>
    </row>
    <row r="60" spans="23:26" ht="13" x14ac:dyDescent="0.15">
      <c r="W60" s="2"/>
      <c r="Y60" s="2"/>
      <c r="Z60" s="2"/>
    </row>
    <row r="61" spans="23:26" ht="13" x14ac:dyDescent="0.15">
      <c r="W61" s="2"/>
      <c r="Y61" s="2"/>
      <c r="Z61" s="2"/>
    </row>
    <row r="62" spans="23:26" ht="13" x14ac:dyDescent="0.15">
      <c r="W62" s="2"/>
      <c r="Y62" s="2"/>
      <c r="Z62" s="2"/>
    </row>
    <row r="63" spans="23:26" ht="13" x14ac:dyDescent="0.15">
      <c r="W63" s="2"/>
      <c r="Y63" s="2"/>
      <c r="Z63" s="2"/>
    </row>
    <row r="64" spans="23:26" ht="13" x14ac:dyDescent="0.15">
      <c r="W64" s="2"/>
      <c r="Y64" s="2"/>
      <c r="Z64" s="2"/>
    </row>
    <row r="65" spans="23:26" ht="13" x14ac:dyDescent="0.15">
      <c r="W65" s="2"/>
      <c r="Y65" s="2"/>
      <c r="Z65" s="2"/>
    </row>
    <row r="66" spans="23:26" ht="13" x14ac:dyDescent="0.15">
      <c r="W66" s="2"/>
      <c r="Y66" s="2"/>
      <c r="Z66" s="2"/>
    </row>
    <row r="67" spans="23:26" ht="13" x14ac:dyDescent="0.15">
      <c r="W67" s="2"/>
      <c r="Y67" s="2"/>
      <c r="Z67" s="2"/>
    </row>
    <row r="68" spans="23:26" ht="13" x14ac:dyDescent="0.15">
      <c r="W68" s="2"/>
      <c r="Y68" s="2"/>
      <c r="Z68" s="2"/>
    </row>
    <row r="69" spans="23:26" ht="13" x14ac:dyDescent="0.15">
      <c r="W69" s="2"/>
      <c r="Y69" s="2"/>
      <c r="Z69" s="2"/>
    </row>
    <row r="70" spans="23:26" ht="13" x14ac:dyDescent="0.15">
      <c r="W70" s="2"/>
      <c r="Y70" s="2"/>
      <c r="Z70" s="2"/>
    </row>
    <row r="71" spans="23:26" ht="13" x14ac:dyDescent="0.15">
      <c r="W71" s="2"/>
      <c r="Y71" s="2"/>
      <c r="Z71" s="2"/>
    </row>
    <row r="72" spans="23:26" ht="13" x14ac:dyDescent="0.15">
      <c r="W72" s="2"/>
      <c r="Y72" s="2"/>
      <c r="Z72" s="2"/>
    </row>
    <row r="73" spans="23:26" ht="13" x14ac:dyDescent="0.15">
      <c r="W73" s="2"/>
      <c r="Y73" s="2"/>
      <c r="Z73" s="2"/>
    </row>
    <row r="74" spans="23:26" ht="13" x14ac:dyDescent="0.15">
      <c r="W74" s="2"/>
      <c r="Y74" s="2"/>
      <c r="Z74" s="2"/>
    </row>
    <row r="75" spans="23:26" ht="13" x14ac:dyDescent="0.15">
      <c r="W75" s="2"/>
      <c r="Y75" s="2"/>
      <c r="Z75" s="2"/>
    </row>
    <row r="76" spans="23:26" ht="13" x14ac:dyDescent="0.15">
      <c r="W76" s="2"/>
      <c r="Y76" s="2"/>
      <c r="Z76" s="2"/>
    </row>
    <row r="77" spans="23:26" ht="13" x14ac:dyDescent="0.15">
      <c r="W77" s="2"/>
      <c r="Y77" s="2"/>
      <c r="Z77" s="2"/>
    </row>
    <row r="78" spans="23:26" ht="13" x14ac:dyDescent="0.15">
      <c r="W78" s="2"/>
      <c r="Y78" s="2"/>
      <c r="Z78" s="2"/>
    </row>
    <row r="79" spans="23:26" ht="13" x14ac:dyDescent="0.15">
      <c r="W79" s="2"/>
      <c r="Y79" s="2"/>
      <c r="Z79" s="2"/>
    </row>
    <row r="80" spans="23:26" ht="13" x14ac:dyDescent="0.15">
      <c r="W80" s="2"/>
      <c r="Y80" s="2"/>
      <c r="Z80" s="2"/>
    </row>
    <row r="81" spans="23:26" ht="13" x14ac:dyDescent="0.15">
      <c r="W81" s="2"/>
      <c r="Y81" s="2"/>
      <c r="Z81" s="2"/>
    </row>
    <row r="82" spans="23:26" ht="13" x14ac:dyDescent="0.15">
      <c r="W82" s="2"/>
      <c r="Y82" s="2"/>
      <c r="Z82" s="2"/>
    </row>
    <row r="83" spans="23:26" ht="13" x14ac:dyDescent="0.15">
      <c r="W83" s="2"/>
      <c r="Y83" s="2"/>
      <c r="Z83" s="2"/>
    </row>
    <row r="84" spans="23:26" ht="13" x14ac:dyDescent="0.15">
      <c r="W84" s="2"/>
      <c r="Y84" s="2"/>
      <c r="Z84" s="2"/>
    </row>
    <row r="85" spans="23:26" ht="13" x14ac:dyDescent="0.15">
      <c r="W85" s="2"/>
      <c r="Y85" s="2"/>
      <c r="Z85" s="2"/>
    </row>
    <row r="86" spans="23:26" ht="13" x14ac:dyDescent="0.15">
      <c r="W86" s="2"/>
      <c r="Y86" s="2"/>
      <c r="Z86" s="2"/>
    </row>
    <row r="87" spans="23:26" ht="13" x14ac:dyDescent="0.15">
      <c r="W87" s="2"/>
      <c r="Y87" s="2"/>
      <c r="Z87" s="2"/>
    </row>
    <row r="88" spans="23:26" ht="13" x14ac:dyDescent="0.15">
      <c r="W88" s="2"/>
      <c r="Y88" s="2"/>
      <c r="Z88" s="2"/>
    </row>
    <row r="89" spans="23:26" ht="13" x14ac:dyDescent="0.15">
      <c r="W89" s="2"/>
      <c r="Y89" s="2"/>
      <c r="Z89" s="2"/>
    </row>
    <row r="90" spans="23:26" ht="13" x14ac:dyDescent="0.15">
      <c r="W90" s="2"/>
      <c r="Y90" s="2"/>
      <c r="Z90" s="2"/>
    </row>
    <row r="91" spans="23:26" ht="13" x14ac:dyDescent="0.15">
      <c r="W91" s="2"/>
      <c r="Y91" s="2"/>
      <c r="Z91" s="2"/>
    </row>
    <row r="92" spans="23:26" ht="13" x14ac:dyDescent="0.15">
      <c r="W92" s="2"/>
      <c r="Y92" s="2"/>
      <c r="Z92" s="2"/>
    </row>
    <row r="93" spans="23:26" ht="13" x14ac:dyDescent="0.15">
      <c r="W93" s="2"/>
      <c r="Y93" s="2"/>
      <c r="Z93" s="2"/>
    </row>
    <row r="94" spans="23:26" ht="13" x14ac:dyDescent="0.15">
      <c r="W94" s="2"/>
      <c r="Y94" s="2"/>
      <c r="Z94" s="2"/>
    </row>
    <row r="95" spans="23:26" ht="13" x14ac:dyDescent="0.15">
      <c r="W95" s="2"/>
      <c r="Y95" s="2"/>
      <c r="Z95" s="2"/>
    </row>
    <row r="96" spans="23:26" ht="13" x14ac:dyDescent="0.15">
      <c r="W96" s="2"/>
      <c r="Y96" s="2"/>
      <c r="Z96" s="2"/>
    </row>
    <row r="97" spans="23:26" ht="13" x14ac:dyDescent="0.15">
      <c r="W97" s="2"/>
      <c r="Y97" s="2"/>
      <c r="Z97" s="2"/>
    </row>
    <row r="98" spans="23:26" ht="13" x14ac:dyDescent="0.15">
      <c r="W98" s="2"/>
      <c r="Y98" s="2"/>
      <c r="Z98" s="2"/>
    </row>
    <row r="99" spans="23:26" ht="13" x14ac:dyDescent="0.15">
      <c r="W99" s="2"/>
      <c r="Y99" s="2"/>
      <c r="Z99" s="2"/>
    </row>
    <row r="100" spans="23:26" ht="13" x14ac:dyDescent="0.15">
      <c r="W100" s="2"/>
      <c r="Y100" s="2"/>
      <c r="Z100" s="2"/>
    </row>
    <row r="101" spans="23:26" ht="13" x14ac:dyDescent="0.15">
      <c r="W101" s="2"/>
      <c r="Y101" s="2"/>
      <c r="Z101" s="2"/>
    </row>
    <row r="102" spans="23:26" ht="13" x14ac:dyDescent="0.15">
      <c r="W102" s="2"/>
      <c r="Y102" s="2"/>
      <c r="Z102" s="2"/>
    </row>
    <row r="103" spans="23:26" ht="13" x14ac:dyDescent="0.15">
      <c r="W103" s="2"/>
      <c r="Y103" s="2"/>
      <c r="Z103" s="2"/>
    </row>
    <row r="104" spans="23:26" ht="13" x14ac:dyDescent="0.15">
      <c r="W104" s="2"/>
      <c r="Y104" s="2"/>
      <c r="Z104" s="2"/>
    </row>
    <row r="105" spans="23:26" ht="13" x14ac:dyDescent="0.15">
      <c r="W105" s="2"/>
      <c r="Y105" s="2"/>
      <c r="Z105" s="2"/>
    </row>
    <row r="106" spans="23:26" ht="13" x14ac:dyDescent="0.15">
      <c r="W106" s="2"/>
      <c r="Y106" s="2"/>
      <c r="Z106" s="2"/>
    </row>
    <row r="107" spans="23:26" ht="13" x14ac:dyDescent="0.15">
      <c r="W107" s="2"/>
      <c r="Y107" s="2"/>
      <c r="Z107" s="2"/>
    </row>
    <row r="108" spans="23:26" ht="13" x14ac:dyDescent="0.15">
      <c r="W108" s="2"/>
      <c r="Y108" s="2"/>
      <c r="Z108" s="2"/>
    </row>
    <row r="109" spans="23:26" ht="13" x14ac:dyDescent="0.15">
      <c r="W109" s="2"/>
      <c r="Y109" s="2"/>
      <c r="Z109" s="2"/>
    </row>
    <row r="110" spans="23:26" ht="13" x14ac:dyDescent="0.15">
      <c r="W110" s="2"/>
      <c r="Y110" s="2"/>
      <c r="Z110" s="2"/>
    </row>
    <row r="111" spans="23:26" ht="13" x14ac:dyDescent="0.15">
      <c r="W111" s="2"/>
      <c r="Y111" s="2"/>
      <c r="Z111" s="2"/>
    </row>
    <row r="112" spans="23:26" ht="13" x14ac:dyDescent="0.15">
      <c r="W112" s="2"/>
      <c r="Y112" s="2"/>
      <c r="Z112" s="2"/>
    </row>
    <row r="113" spans="23:26" ht="13" x14ac:dyDescent="0.15">
      <c r="W113" s="2"/>
      <c r="Y113" s="2"/>
      <c r="Z113" s="2"/>
    </row>
    <row r="114" spans="23:26" ht="13" x14ac:dyDescent="0.15">
      <c r="W114" s="2"/>
      <c r="Y114" s="2"/>
      <c r="Z114" s="2"/>
    </row>
    <row r="115" spans="23:26" ht="13" x14ac:dyDescent="0.15">
      <c r="W115" s="2"/>
      <c r="Y115" s="2"/>
      <c r="Z115" s="2"/>
    </row>
    <row r="116" spans="23:26" ht="13" x14ac:dyDescent="0.15">
      <c r="W116" s="2"/>
      <c r="Y116" s="2"/>
      <c r="Z116" s="2"/>
    </row>
    <row r="117" spans="23:26" ht="13" x14ac:dyDescent="0.15">
      <c r="W117" s="2"/>
      <c r="Y117" s="2"/>
      <c r="Z117" s="2"/>
    </row>
    <row r="118" spans="23:26" ht="13" x14ac:dyDescent="0.15">
      <c r="W118" s="2"/>
      <c r="Y118" s="2"/>
      <c r="Z118" s="2"/>
    </row>
    <row r="119" spans="23:26" ht="13" x14ac:dyDescent="0.15">
      <c r="W119" s="2"/>
      <c r="Y119" s="2"/>
      <c r="Z119" s="2"/>
    </row>
    <row r="120" spans="23:26" ht="13" x14ac:dyDescent="0.15">
      <c r="W120" s="2"/>
      <c r="Y120" s="2"/>
      <c r="Z120" s="2"/>
    </row>
    <row r="121" spans="23:26" ht="13" x14ac:dyDescent="0.15">
      <c r="W121" s="2"/>
      <c r="Y121" s="2"/>
      <c r="Z121" s="2"/>
    </row>
    <row r="122" spans="23:26" ht="13" x14ac:dyDescent="0.15">
      <c r="W122" s="2"/>
      <c r="Y122" s="2"/>
      <c r="Z122" s="2"/>
    </row>
    <row r="123" spans="23:26" ht="13" x14ac:dyDescent="0.15">
      <c r="W123" s="2"/>
      <c r="Y123" s="2"/>
      <c r="Z123" s="2"/>
    </row>
    <row r="124" spans="23:26" ht="13" x14ac:dyDescent="0.15">
      <c r="W124" s="2"/>
      <c r="Y124" s="2"/>
      <c r="Z124" s="2"/>
    </row>
    <row r="125" spans="23:26" ht="13" x14ac:dyDescent="0.15">
      <c r="W125" s="2"/>
      <c r="Y125" s="2"/>
      <c r="Z125" s="2"/>
    </row>
    <row r="126" spans="23:26" ht="13" x14ac:dyDescent="0.15">
      <c r="W126" s="2"/>
      <c r="Y126" s="2"/>
      <c r="Z126" s="2"/>
    </row>
    <row r="127" spans="23:26" ht="13" x14ac:dyDescent="0.15">
      <c r="W127" s="2"/>
      <c r="Y127" s="2"/>
      <c r="Z127" s="2"/>
    </row>
    <row r="128" spans="23:26" ht="13" x14ac:dyDescent="0.15">
      <c r="W128" s="2"/>
      <c r="Y128" s="2"/>
      <c r="Z128" s="2"/>
    </row>
    <row r="129" spans="23:26" ht="13" x14ac:dyDescent="0.15">
      <c r="W129" s="2"/>
      <c r="Y129" s="2"/>
      <c r="Z129" s="2"/>
    </row>
    <row r="130" spans="23:26" ht="13" x14ac:dyDescent="0.15">
      <c r="W130" s="2"/>
      <c r="Y130" s="2"/>
      <c r="Z130" s="2"/>
    </row>
    <row r="131" spans="23:26" ht="13" x14ac:dyDescent="0.15">
      <c r="W131" s="2"/>
      <c r="Y131" s="2"/>
      <c r="Z131" s="2"/>
    </row>
    <row r="132" spans="23:26" ht="13" x14ac:dyDescent="0.15">
      <c r="W132" s="2"/>
      <c r="Y132" s="2"/>
      <c r="Z132" s="2"/>
    </row>
    <row r="133" spans="23:26" ht="13" x14ac:dyDescent="0.15">
      <c r="W133" s="2"/>
      <c r="Y133" s="2"/>
      <c r="Z133" s="2"/>
    </row>
    <row r="134" spans="23:26" ht="13" x14ac:dyDescent="0.15">
      <c r="W134" s="2"/>
      <c r="Y134" s="2"/>
      <c r="Z134" s="2"/>
    </row>
    <row r="135" spans="23:26" ht="13" x14ac:dyDescent="0.15">
      <c r="W135" s="2"/>
      <c r="Y135" s="2"/>
      <c r="Z135" s="2"/>
    </row>
    <row r="136" spans="23:26" ht="13" x14ac:dyDescent="0.15">
      <c r="W136" s="2"/>
      <c r="Y136" s="2"/>
      <c r="Z136" s="2"/>
    </row>
    <row r="137" spans="23:26" ht="13" x14ac:dyDescent="0.15">
      <c r="W137" s="2"/>
      <c r="Y137" s="2"/>
      <c r="Z137" s="2"/>
    </row>
    <row r="138" spans="23:26" ht="13" x14ac:dyDescent="0.15">
      <c r="W138" s="2"/>
      <c r="Y138" s="2"/>
      <c r="Z138" s="2"/>
    </row>
    <row r="139" spans="23:26" ht="13" x14ac:dyDescent="0.15">
      <c r="W139" s="2"/>
      <c r="Y139" s="2"/>
      <c r="Z139" s="2"/>
    </row>
    <row r="140" spans="23:26" ht="13" x14ac:dyDescent="0.15">
      <c r="W140" s="2"/>
      <c r="Y140" s="2"/>
      <c r="Z140" s="2"/>
    </row>
    <row r="141" spans="23:26" ht="13" x14ac:dyDescent="0.15">
      <c r="W141" s="2"/>
      <c r="Y141" s="2"/>
      <c r="Z141" s="2"/>
    </row>
    <row r="142" spans="23:26" ht="13" x14ac:dyDescent="0.15">
      <c r="W142" s="2"/>
      <c r="Y142" s="2"/>
      <c r="Z142" s="2"/>
    </row>
    <row r="143" spans="23:26" ht="13" x14ac:dyDescent="0.15">
      <c r="W143" s="2"/>
      <c r="Y143" s="2"/>
      <c r="Z143" s="2"/>
    </row>
    <row r="144" spans="23:26" ht="13" x14ac:dyDescent="0.15">
      <c r="W144" s="2"/>
      <c r="Y144" s="2"/>
      <c r="Z144" s="2"/>
    </row>
    <row r="145" spans="23:26" ht="13" x14ac:dyDescent="0.15">
      <c r="W145" s="2"/>
      <c r="Y145" s="2"/>
      <c r="Z145" s="2"/>
    </row>
    <row r="146" spans="23:26" ht="13" x14ac:dyDescent="0.15">
      <c r="W146" s="2"/>
      <c r="Y146" s="2"/>
      <c r="Z146" s="2"/>
    </row>
    <row r="147" spans="23:26" ht="13" x14ac:dyDescent="0.15">
      <c r="W147" s="2"/>
      <c r="Y147" s="2"/>
      <c r="Z147" s="2"/>
    </row>
    <row r="148" spans="23:26" ht="13" x14ac:dyDescent="0.15">
      <c r="W148" s="2"/>
      <c r="Y148" s="2"/>
      <c r="Z148" s="2"/>
    </row>
    <row r="149" spans="23:26" ht="13" x14ac:dyDescent="0.15">
      <c r="W149" s="2"/>
      <c r="Y149" s="2"/>
      <c r="Z149" s="2"/>
    </row>
    <row r="150" spans="23:26" ht="13" x14ac:dyDescent="0.15">
      <c r="W150" s="2"/>
      <c r="Y150" s="2"/>
      <c r="Z150" s="2"/>
    </row>
    <row r="151" spans="23:26" ht="13" x14ac:dyDescent="0.15">
      <c r="W151" s="2"/>
      <c r="Y151" s="2"/>
      <c r="Z151" s="2"/>
    </row>
    <row r="152" spans="23:26" ht="13" x14ac:dyDescent="0.15">
      <c r="W152" s="2"/>
      <c r="Y152" s="2"/>
      <c r="Z152" s="2"/>
    </row>
    <row r="153" spans="23:26" ht="13" x14ac:dyDescent="0.15">
      <c r="W153" s="2"/>
      <c r="Y153" s="2"/>
      <c r="Z153" s="2"/>
    </row>
    <row r="154" spans="23:26" ht="13" x14ac:dyDescent="0.15">
      <c r="W154" s="2"/>
      <c r="Y154" s="2"/>
      <c r="Z154" s="2"/>
    </row>
    <row r="155" spans="23:26" ht="13" x14ac:dyDescent="0.15">
      <c r="W155" s="2"/>
      <c r="Y155" s="2"/>
      <c r="Z155" s="2"/>
    </row>
    <row r="156" spans="23:26" ht="13" x14ac:dyDescent="0.15">
      <c r="W156" s="2"/>
      <c r="Y156" s="2"/>
      <c r="Z156" s="2"/>
    </row>
    <row r="157" spans="23:26" ht="13" x14ac:dyDescent="0.15">
      <c r="W157" s="2"/>
      <c r="Y157" s="2"/>
      <c r="Z157" s="2"/>
    </row>
    <row r="158" spans="23:26" ht="13" x14ac:dyDescent="0.15">
      <c r="W158" s="2"/>
      <c r="Y158" s="2"/>
      <c r="Z158" s="2"/>
    </row>
    <row r="159" spans="23:26" ht="13" x14ac:dyDescent="0.15">
      <c r="W159" s="2"/>
      <c r="Y159" s="2"/>
      <c r="Z159" s="2"/>
    </row>
    <row r="160" spans="23:26" ht="13" x14ac:dyDescent="0.15">
      <c r="W160" s="2"/>
      <c r="Y160" s="2"/>
      <c r="Z160" s="2"/>
    </row>
    <row r="161" spans="23:26" ht="13" x14ac:dyDescent="0.15">
      <c r="W161" s="2"/>
      <c r="Y161" s="2"/>
      <c r="Z161" s="2"/>
    </row>
    <row r="162" spans="23:26" ht="13" x14ac:dyDescent="0.15">
      <c r="W162" s="2"/>
      <c r="Y162" s="2"/>
      <c r="Z162" s="2"/>
    </row>
    <row r="163" spans="23:26" ht="13" x14ac:dyDescent="0.15">
      <c r="W163" s="2"/>
      <c r="Y163" s="2"/>
      <c r="Z163" s="2"/>
    </row>
    <row r="164" spans="23:26" ht="13" x14ac:dyDescent="0.15">
      <c r="W164" s="2"/>
      <c r="Y164" s="2"/>
      <c r="Z164" s="2"/>
    </row>
    <row r="165" spans="23:26" ht="13" x14ac:dyDescent="0.15">
      <c r="W165" s="2"/>
      <c r="Y165" s="2"/>
      <c r="Z165" s="2"/>
    </row>
    <row r="166" spans="23:26" ht="13" x14ac:dyDescent="0.15">
      <c r="W166" s="2"/>
      <c r="Y166" s="2"/>
      <c r="Z166" s="2"/>
    </row>
    <row r="167" spans="23:26" ht="13" x14ac:dyDescent="0.15">
      <c r="W167" s="2"/>
      <c r="Y167" s="2"/>
      <c r="Z167" s="2"/>
    </row>
    <row r="168" spans="23:26" ht="13" x14ac:dyDescent="0.15">
      <c r="W168" s="2"/>
      <c r="Y168" s="2"/>
      <c r="Z168" s="2"/>
    </row>
    <row r="169" spans="23:26" ht="13" x14ac:dyDescent="0.15">
      <c r="W169" s="2"/>
      <c r="Y169" s="2"/>
      <c r="Z169" s="2"/>
    </row>
    <row r="170" spans="23:26" ht="13" x14ac:dyDescent="0.15">
      <c r="W170" s="2"/>
      <c r="Y170" s="2"/>
      <c r="Z170" s="2"/>
    </row>
    <row r="171" spans="23:26" ht="13" x14ac:dyDescent="0.15">
      <c r="W171" s="2"/>
      <c r="Y171" s="2"/>
      <c r="Z171" s="2"/>
    </row>
    <row r="172" spans="23:26" ht="13" x14ac:dyDescent="0.15">
      <c r="W172" s="2"/>
      <c r="Y172" s="2"/>
      <c r="Z172" s="2"/>
    </row>
    <row r="173" spans="23:26" ht="13" x14ac:dyDescent="0.15">
      <c r="W173" s="2"/>
      <c r="Y173" s="2"/>
      <c r="Z173" s="2"/>
    </row>
    <row r="174" spans="23:26" ht="13" x14ac:dyDescent="0.15">
      <c r="W174" s="2"/>
      <c r="Y174" s="2"/>
      <c r="Z174" s="2"/>
    </row>
    <row r="175" spans="23:26" ht="13" x14ac:dyDescent="0.15">
      <c r="W175" s="2"/>
      <c r="Y175" s="2"/>
      <c r="Z175" s="2"/>
    </row>
    <row r="176" spans="23:26" ht="13" x14ac:dyDescent="0.15">
      <c r="W176" s="2"/>
      <c r="Y176" s="2"/>
      <c r="Z176" s="2"/>
    </row>
    <row r="177" spans="23:26" ht="13" x14ac:dyDescent="0.15">
      <c r="W177" s="2"/>
      <c r="Y177" s="2"/>
      <c r="Z177" s="2"/>
    </row>
    <row r="178" spans="23:26" ht="13" x14ac:dyDescent="0.15">
      <c r="W178" s="2"/>
      <c r="Y178" s="2"/>
      <c r="Z178" s="2"/>
    </row>
    <row r="179" spans="23:26" ht="13" x14ac:dyDescent="0.15">
      <c r="W179" s="2"/>
      <c r="Y179" s="2"/>
      <c r="Z179" s="2"/>
    </row>
    <row r="180" spans="23:26" ht="13" x14ac:dyDescent="0.15">
      <c r="W180" s="2"/>
      <c r="Y180" s="2"/>
      <c r="Z180" s="2"/>
    </row>
    <row r="181" spans="23:26" ht="13" x14ac:dyDescent="0.15">
      <c r="W181" s="2"/>
      <c r="Y181" s="2"/>
      <c r="Z181" s="2"/>
    </row>
    <row r="182" spans="23:26" ht="13" x14ac:dyDescent="0.15">
      <c r="W182" s="2"/>
      <c r="Y182" s="2"/>
      <c r="Z182" s="2"/>
    </row>
    <row r="183" spans="23:26" ht="13" x14ac:dyDescent="0.15">
      <c r="W183" s="2"/>
      <c r="Y183" s="2"/>
      <c r="Z183" s="2"/>
    </row>
    <row r="184" spans="23:26" ht="13" x14ac:dyDescent="0.15">
      <c r="W184" s="2"/>
      <c r="Y184" s="2"/>
      <c r="Z184" s="2"/>
    </row>
    <row r="185" spans="23:26" ht="13" x14ac:dyDescent="0.15">
      <c r="W185" s="2"/>
      <c r="Y185" s="2"/>
      <c r="Z185" s="2"/>
    </row>
    <row r="186" spans="23:26" ht="13" x14ac:dyDescent="0.15">
      <c r="W186" s="2"/>
      <c r="Y186" s="2"/>
      <c r="Z186" s="2"/>
    </row>
    <row r="187" spans="23:26" ht="13" x14ac:dyDescent="0.15">
      <c r="W187" s="2"/>
      <c r="Y187" s="2"/>
      <c r="Z187" s="2"/>
    </row>
    <row r="188" spans="23:26" ht="13" x14ac:dyDescent="0.15">
      <c r="W188" s="2"/>
      <c r="Y188" s="2"/>
      <c r="Z188" s="2"/>
    </row>
    <row r="189" spans="23:26" ht="13" x14ac:dyDescent="0.15">
      <c r="W189" s="2"/>
      <c r="Y189" s="2"/>
      <c r="Z189" s="2"/>
    </row>
    <row r="190" spans="23:26" ht="13" x14ac:dyDescent="0.15">
      <c r="W190" s="2"/>
      <c r="Y190" s="2"/>
      <c r="Z190" s="2"/>
    </row>
    <row r="191" spans="23:26" ht="13" x14ac:dyDescent="0.15">
      <c r="W191" s="2"/>
      <c r="Y191" s="2"/>
      <c r="Z191" s="2"/>
    </row>
    <row r="192" spans="23:26" ht="13" x14ac:dyDescent="0.15">
      <c r="W192" s="2"/>
      <c r="Y192" s="2"/>
      <c r="Z192" s="2"/>
    </row>
    <row r="193" spans="23:26" ht="13" x14ac:dyDescent="0.15">
      <c r="W193" s="2"/>
      <c r="Y193" s="2"/>
      <c r="Z193" s="2"/>
    </row>
    <row r="194" spans="23:26" ht="13" x14ac:dyDescent="0.15">
      <c r="W194" s="2"/>
      <c r="Y194" s="2"/>
      <c r="Z194" s="2"/>
    </row>
    <row r="195" spans="23:26" ht="13" x14ac:dyDescent="0.15">
      <c r="W195" s="2"/>
      <c r="Y195" s="2"/>
      <c r="Z195" s="2"/>
    </row>
    <row r="196" spans="23:26" ht="13" x14ac:dyDescent="0.15">
      <c r="W196" s="2"/>
      <c r="Y196" s="2"/>
      <c r="Z196" s="2"/>
    </row>
    <row r="197" spans="23:26" ht="13" x14ac:dyDescent="0.15">
      <c r="W197" s="2"/>
      <c r="Y197" s="2"/>
      <c r="Z197" s="2"/>
    </row>
    <row r="198" spans="23:26" ht="13" x14ac:dyDescent="0.15">
      <c r="W198" s="2"/>
      <c r="Y198" s="2"/>
      <c r="Z198" s="2"/>
    </row>
    <row r="199" spans="23:26" ht="13" x14ac:dyDescent="0.15">
      <c r="W199" s="2"/>
      <c r="Y199" s="2"/>
      <c r="Z199" s="2"/>
    </row>
    <row r="200" spans="23:26" ht="13" x14ac:dyDescent="0.15">
      <c r="W200" s="2"/>
      <c r="Y200" s="2"/>
      <c r="Z200" s="2"/>
    </row>
    <row r="201" spans="23:26" ht="13" x14ac:dyDescent="0.15">
      <c r="W201" s="2"/>
      <c r="Y201" s="2"/>
      <c r="Z201" s="2"/>
    </row>
    <row r="202" spans="23:26" ht="13" x14ac:dyDescent="0.15">
      <c r="W202" s="2"/>
      <c r="Y202" s="2"/>
      <c r="Z202" s="2"/>
    </row>
    <row r="203" spans="23:26" ht="13" x14ac:dyDescent="0.15">
      <c r="W203" s="2"/>
      <c r="Y203" s="2"/>
      <c r="Z203" s="2"/>
    </row>
    <row r="204" spans="23:26" ht="13" x14ac:dyDescent="0.15">
      <c r="W204" s="2"/>
      <c r="Y204" s="2"/>
      <c r="Z204" s="2"/>
    </row>
    <row r="205" spans="23:26" ht="13" x14ac:dyDescent="0.15">
      <c r="W205" s="2"/>
      <c r="Y205" s="2"/>
      <c r="Z205" s="2"/>
    </row>
    <row r="206" spans="23:26" ht="13" x14ac:dyDescent="0.15">
      <c r="W206" s="2"/>
      <c r="Y206" s="2"/>
      <c r="Z206" s="2"/>
    </row>
    <row r="207" spans="23:26" ht="13" x14ac:dyDescent="0.15">
      <c r="W207" s="2"/>
      <c r="Y207" s="2"/>
      <c r="Z207" s="2"/>
    </row>
    <row r="208" spans="23:26" ht="13" x14ac:dyDescent="0.15">
      <c r="W208" s="2"/>
      <c r="Y208" s="2"/>
      <c r="Z208" s="2"/>
    </row>
    <row r="209" spans="23:26" ht="13" x14ac:dyDescent="0.15">
      <c r="W209" s="2"/>
      <c r="Y209" s="2"/>
      <c r="Z209" s="2"/>
    </row>
    <row r="210" spans="23:26" ht="13" x14ac:dyDescent="0.15">
      <c r="W210" s="2"/>
      <c r="Y210" s="2"/>
      <c r="Z210" s="2"/>
    </row>
    <row r="211" spans="23:26" ht="13" x14ac:dyDescent="0.15">
      <c r="W211" s="2"/>
      <c r="Y211" s="2"/>
      <c r="Z211" s="2"/>
    </row>
    <row r="212" spans="23:26" ht="13" x14ac:dyDescent="0.15">
      <c r="W212" s="2"/>
      <c r="Y212" s="2"/>
      <c r="Z212" s="2"/>
    </row>
    <row r="213" spans="23:26" ht="13" x14ac:dyDescent="0.15">
      <c r="W213" s="2"/>
      <c r="Y213" s="2"/>
      <c r="Z213" s="2"/>
    </row>
    <row r="214" spans="23:26" ht="13" x14ac:dyDescent="0.15">
      <c r="W214" s="2"/>
      <c r="Y214" s="2"/>
      <c r="Z214" s="2"/>
    </row>
    <row r="215" spans="23:26" ht="13" x14ac:dyDescent="0.15">
      <c r="W215" s="2"/>
      <c r="Y215" s="2"/>
      <c r="Z215" s="2"/>
    </row>
    <row r="216" spans="23:26" ht="13" x14ac:dyDescent="0.15">
      <c r="W216" s="2"/>
      <c r="Y216" s="2"/>
      <c r="Z216" s="2"/>
    </row>
    <row r="217" spans="23:26" ht="13" x14ac:dyDescent="0.15">
      <c r="W217" s="2"/>
      <c r="Y217" s="2"/>
      <c r="Z217" s="2"/>
    </row>
    <row r="218" spans="23:26" ht="13" x14ac:dyDescent="0.15">
      <c r="W218" s="2"/>
      <c r="Y218" s="2"/>
      <c r="Z218" s="2"/>
    </row>
    <row r="219" spans="23:26" ht="13" x14ac:dyDescent="0.15">
      <c r="W219" s="2"/>
      <c r="Y219" s="2"/>
      <c r="Z219" s="2"/>
    </row>
    <row r="220" spans="23:26" ht="13" x14ac:dyDescent="0.15">
      <c r="W220" s="2"/>
      <c r="Y220" s="2"/>
      <c r="Z220" s="2"/>
    </row>
    <row r="221" spans="23:26" ht="13" x14ac:dyDescent="0.15">
      <c r="W221" s="2"/>
      <c r="Y221" s="2"/>
      <c r="Z221" s="2"/>
    </row>
    <row r="222" spans="23:26" ht="13" x14ac:dyDescent="0.15">
      <c r="W222" s="2"/>
      <c r="Y222" s="2"/>
      <c r="Z222" s="2"/>
    </row>
    <row r="223" spans="23:26" ht="13" x14ac:dyDescent="0.15">
      <c r="W223" s="2"/>
      <c r="Y223" s="2"/>
      <c r="Z223" s="2"/>
    </row>
    <row r="224" spans="23:26" ht="13" x14ac:dyDescent="0.15">
      <c r="W224" s="2"/>
      <c r="Y224" s="2"/>
      <c r="Z224" s="2"/>
    </row>
    <row r="225" spans="23:26" ht="13" x14ac:dyDescent="0.15">
      <c r="W225" s="2"/>
      <c r="Y225" s="2"/>
      <c r="Z225" s="2"/>
    </row>
    <row r="226" spans="23:26" ht="13" x14ac:dyDescent="0.15">
      <c r="W226" s="2"/>
      <c r="Y226" s="2"/>
      <c r="Z226" s="2"/>
    </row>
    <row r="227" spans="23:26" ht="13" x14ac:dyDescent="0.15">
      <c r="W227" s="2"/>
      <c r="Y227" s="2"/>
      <c r="Z227" s="2"/>
    </row>
    <row r="228" spans="23:26" ht="13" x14ac:dyDescent="0.15">
      <c r="W228" s="2"/>
      <c r="Y228" s="2"/>
      <c r="Z228" s="2"/>
    </row>
    <row r="229" spans="23:26" ht="13" x14ac:dyDescent="0.15">
      <c r="W229" s="2"/>
      <c r="Y229" s="2"/>
      <c r="Z229" s="2"/>
    </row>
    <row r="230" spans="23:26" ht="13" x14ac:dyDescent="0.15">
      <c r="W230" s="2"/>
      <c r="Y230" s="2"/>
      <c r="Z230" s="2"/>
    </row>
    <row r="231" spans="23:26" ht="13" x14ac:dyDescent="0.15">
      <c r="W231" s="2"/>
      <c r="Y231" s="2"/>
      <c r="Z231" s="2"/>
    </row>
    <row r="232" spans="23:26" ht="13" x14ac:dyDescent="0.15">
      <c r="W232" s="2"/>
      <c r="Y232" s="2"/>
      <c r="Z232" s="2"/>
    </row>
    <row r="233" spans="23:26" ht="13" x14ac:dyDescent="0.15">
      <c r="W233" s="2"/>
      <c r="Y233" s="2"/>
      <c r="Z233" s="2"/>
    </row>
    <row r="234" spans="23:26" ht="13" x14ac:dyDescent="0.15">
      <c r="W234" s="2"/>
      <c r="Y234" s="2"/>
      <c r="Z234" s="2"/>
    </row>
    <row r="235" spans="23:26" ht="13" x14ac:dyDescent="0.15">
      <c r="W235" s="2"/>
      <c r="Y235" s="2"/>
      <c r="Z235" s="2"/>
    </row>
    <row r="236" spans="23:26" ht="13" x14ac:dyDescent="0.15">
      <c r="W236" s="2"/>
      <c r="Y236" s="2"/>
      <c r="Z236" s="2"/>
    </row>
    <row r="237" spans="23:26" ht="13" x14ac:dyDescent="0.15">
      <c r="W237" s="2"/>
      <c r="Y237" s="2"/>
      <c r="Z237" s="2"/>
    </row>
    <row r="238" spans="23:26" ht="13" x14ac:dyDescent="0.15">
      <c r="W238" s="2"/>
      <c r="Y238" s="2"/>
      <c r="Z238" s="2"/>
    </row>
    <row r="239" spans="23:26" ht="13" x14ac:dyDescent="0.15">
      <c r="W239" s="2"/>
      <c r="Y239" s="2"/>
      <c r="Z239" s="2"/>
    </row>
    <row r="240" spans="23:26" ht="13" x14ac:dyDescent="0.15">
      <c r="W240" s="2"/>
      <c r="Y240" s="2"/>
      <c r="Z240" s="2"/>
    </row>
    <row r="241" spans="23:26" ht="13" x14ac:dyDescent="0.15">
      <c r="W241" s="2"/>
      <c r="Y241" s="2"/>
      <c r="Z241" s="2"/>
    </row>
    <row r="242" spans="23:26" ht="13" x14ac:dyDescent="0.15">
      <c r="W242" s="2"/>
      <c r="Y242" s="2"/>
      <c r="Z242" s="2"/>
    </row>
    <row r="243" spans="23:26" ht="13" x14ac:dyDescent="0.15">
      <c r="W243" s="2"/>
      <c r="Y243" s="2"/>
      <c r="Z243" s="2"/>
    </row>
    <row r="244" spans="23:26" ht="13" x14ac:dyDescent="0.15">
      <c r="W244" s="2"/>
      <c r="Y244" s="2"/>
      <c r="Z244" s="2"/>
    </row>
    <row r="245" spans="23:26" ht="13" x14ac:dyDescent="0.15">
      <c r="W245" s="2"/>
      <c r="Y245" s="2"/>
      <c r="Z245" s="2"/>
    </row>
    <row r="246" spans="23:26" ht="13" x14ac:dyDescent="0.15">
      <c r="W246" s="2"/>
      <c r="Y246" s="2"/>
      <c r="Z246" s="2"/>
    </row>
    <row r="247" spans="23:26" ht="13" x14ac:dyDescent="0.15">
      <c r="W247" s="2"/>
      <c r="Y247" s="2"/>
      <c r="Z247" s="2"/>
    </row>
    <row r="248" spans="23:26" ht="13" x14ac:dyDescent="0.15">
      <c r="W248" s="2"/>
      <c r="Y248" s="2"/>
      <c r="Z248" s="2"/>
    </row>
    <row r="249" spans="23:26" ht="13" x14ac:dyDescent="0.15">
      <c r="W249" s="2"/>
      <c r="Y249" s="2"/>
      <c r="Z249" s="2"/>
    </row>
    <row r="250" spans="23:26" ht="13" x14ac:dyDescent="0.15">
      <c r="W250" s="2"/>
      <c r="Y250" s="2"/>
      <c r="Z250" s="2"/>
    </row>
    <row r="251" spans="23:26" ht="13" x14ac:dyDescent="0.15">
      <c r="W251" s="2"/>
      <c r="Y251" s="2"/>
      <c r="Z251" s="2"/>
    </row>
    <row r="252" spans="23:26" ht="13" x14ac:dyDescent="0.15">
      <c r="W252" s="2"/>
      <c r="Y252" s="2"/>
      <c r="Z252" s="2"/>
    </row>
    <row r="253" spans="23:26" ht="13" x14ac:dyDescent="0.15">
      <c r="W253" s="2"/>
      <c r="Y253" s="2"/>
      <c r="Z253" s="2"/>
    </row>
    <row r="254" spans="23:26" ht="13" x14ac:dyDescent="0.15">
      <c r="W254" s="2"/>
      <c r="Y254" s="2"/>
      <c r="Z254" s="2"/>
    </row>
    <row r="255" spans="23:26" ht="13" x14ac:dyDescent="0.15">
      <c r="W255" s="2"/>
      <c r="Y255" s="2"/>
      <c r="Z255" s="2"/>
    </row>
    <row r="256" spans="23:26" ht="13" x14ac:dyDescent="0.15">
      <c r="W256" s="2"/>
      <c r="Y256" s="2"/>
      <c r="Z256" s="2"/>
    </row>
    <row r="257" spans="23:26" ht="13" x14ac:dyDescent="0.15">
      <c r="W257" s="2"/>
      <c r="Y257" s="2"/>
      <c r="Z257" s="2"/>
    </row>
    <row r="258" spans="23:26" ht="13" x14ac:dyDescent="0.15">
      <c r="W258" s="2"/>
      <c r="Y258" s="2"/>
      <c r="Z258" s="2"/>
    </row>
    <row r="259" spans="23:26" ht="13" x14ac:dyDescent="0.15">
      <c r="W259" s="2"/>
      <c r="Y259" s="2"/>
      <c r="Z259" s="2"/>
    </row>
    <row r="260" spans="23:26" ht="13" x14ac:dyDescent="0.15">
      <c r="W260" s="2"/>
      <c r="Y260" s="2"/>
      <c r="Z260" s="2"/>
    </row>
    <row r="261" spans="23:26" ht="13" x14ac:dyDescent="0.15">
      <c r="W261" s="2"/>
      <c r="Y261" s="2"/>
      <c r="Z261" s="2"/>
    </row>
    <row r="262" spans="23:26" ht="13" x14ac:dyDescent="0.15">
      <c r="W262" s="2"/>
      <c r="Y262" s="2"/>
      <c r="Z262" s="2"/>
    </row>
    <row r="263" spans="23:26" ht="13" x14ac:dyDescent="0.15">
      <c r="W263" s="2"/>
      <c r="Y263" s="2"/>
      <c r="Z263" s="2"/>
    </row>
    <row r="264" spans="23:26" ht="13" x14ac:dyDescent="0.15">
      <c r="W264" s="2"/>
      <c r="Y264" s="2"/>
      <c r="Z264" s="2"/>
    </row>
    <row r="265" spans="23:26" ht="13" x14ac:dyDescent="0.15">
      <c r="W265" s="2"/>
      <c r="Y265" s="2"/>
      <c r="Z265" s="2"/>
    </row>
    <row r="266" spans="23:26" ht="13" x14ac:dyDescent="0.15">
      <c r="W266" s="2"/>
      <c r="Y266" s="2"/>
      <c r="Z266" s="2"/>
    </row>
    <row r="267" spans="23:26" ht="13" x14ac:dyDescent="0.15">
      <c r="W267" s="2"/>
      <c r="Y267" s="2"/>
      <c r="Z267" s="2"/>
    </row>
    <row r="268" spans="23:26" ht="13" x14ac:dyDescent="0.15">
      <c r="W268" s="2"/>
      <c r="Y268" s="2"/>
      <c r="Z268" s="2"/>
    </row>
    <row r="269" spans="23:26" ht="13" x14ac:dyDescent="0.15">
      <c r="W269" s="2"/>
      <c r="Y269" s="2"/>
      <c r="Z269" s="2"/>
    </row>
    <row r="270" spans="23:26" ht="13" x14ac:dyDescent="0.15">
      <c r="W270" s="2"/>
      <c r="Y270" s="2"/>
      <c r="Z270" s="2"/>
    </row>
    <row r="271" spans="23:26" ht="13" x14ac:dyDescent="0.15">
      <c r="W271" s="2"/>
      <c r="Y271" s="2"/>
      <c r="Z271" s="2"/>
    </row>
    <row r="272" spans="23:26" ht="13" x14ac:dyDescent="0.15">
      <c r="W272" s="2"/>
      <c r="Y272" s="2"/>
      <c r="Z272" s="2"/>
    </row>
    <row r="273" spans="23:26" ht="13" x14ac:dyDescent="0.15">
      <c r="W273" s="2"/>
      <c r="Y273" s="2"/>
      <c r="Z273" s="2"/>
    </row>
    <row r="274" spans="23:26" ht="13" x14ac:dyDescent="0.15">
      <c r="W274" s="2"/>
      <c r="Y274" s="2"/>
      <c r="Z274" s="2"/>
    </row>
    <row r="275" spans="23:26" ht="13" x14ac:dyDescent="0.15">
      <c r="W275" s="2"/>
      <c r="Y275" s="2"/>
      <c r="Z275" s="2"/>
    </row>
    <row r="276" spans="23:26" ht="13" x14ac:dyDescent="0.15">
      <c r="W276" s="2"/>
      <c r="Y276" s="2"/>
      <c r="Z276" s="2"/>
    </row>
    <row r="277" spans="23:26" ht="13" x14ac:dyDescent="0.15">
      <c r="W277" s="2"/>
      <c r="Y277" s="2"/>
      <c r="Z277" s="2"/>
    </row>
    <row r="278" spans="23:26" ht="13" x14ac:dyDescent="0.15">
      <c r="W278" s="2"/>
      <c r="Y278" s="2"/>
      <c r="Z278" s="2"/>
    </row>
    <row r="279" spans="23:26" ht="13" x14ac:dyDescent="0.15">
      <c r="W279" s="2"/>
      <c r="Y279" s="2"/>
      <c r="Z279" s="2"/>
    </row>
    <row r="280" spans="23:26" ht="13" x14ac:dyDescent="0.15">
      <c r="W280" s="2"/>
      <c r="Y280" s="2"/>
      <c r="Z280" s="2"/>
    </row>
    <row r="281" spans="23:26" ht="13" x14ac:dyDescent="0.15">
      <c r="W281" s="2"/>
      <c r="Y281" s="2"/>
      <c r="Z281" s="2"/>
    </row>
    <row r="282" spans="23:26" ht="13" x14ac:dyDescent="0.15">
      <c r="W282" s="2"/>
      <c r="Y282" s="2"/>
      <c r="Z282" s="2"/>
    </row>
    <row r="283" spans="23:26" ht="13" x14ac:dyDescent="0.15">
      <c r="W283" s="2"/>
      <c r="Y283" s="2"/>
      <c r="Z283" s="2"/>
    </row>
    <row r="284" spans="23:26" ht="13" x14ac:dyDescent="0.15">
      <c r="W284" s="2"/>
      <c r="Y284" s="2"/>
      <c r="Z284" s="2"/>
    </row>
    <row r="285" spans="23:26" ht="13" x14ac:dyDescent="0.15">
      <c r="W285" s="2"/>
      <c r="Y285" s="2"/>
      <c r="Z285" s="2"/>
    </row>
    <row r="286" spans="23:26" ht="13" x14ac:dyDescent="0.15">
      <c r="W286" s="2"/>
      <c r="Y286" s="2"/>
      <c r="Z286" s="2"/>
    </row>
    <row r="287" spans="23:26" ht="13" x14ac:dyDescent="0.15">
      <c r="W287" s="2"/>
      <c r="Y287" s="2"/>
      <c r="Z287" s="2"/>
    </row>
    <row r="288" spans="23:26" ht="13" x14ac:dyDescent="0.15">
      <c r="W288" s="2"/>
      <c r="Y288" s="2"/>
      <c r="Z288" s="2"/>
    </row>
    <row r="289" spans="23:26" ht="13" x14ac:dyDescent="0.15">
      <c r="W289" s="2"/>
      <c r="Y289" s="2"/>
      <c r="Z289" s="2"/>
    </row>
    <row r="290" spans="23:26" ht="13" x14ac:dyDescent="0.15">
      <c r="W290" s="2"/>
      <c r="Y290" s="2"/>
      <c r="Z290" s="2"/>
    </row>
    <row r="291" spans="23:26" ht="13" x14ac:dyDescent="0.15">
      <c r="W291" s="2"/>
      <c r="Y291" s="2"/>
      <c r="Z291" s="2"/>
    </row>
    <row r="292" spans="23:26" ht="13" x14ac:dyDescent="0.15">
      <c r="W292" s="2"/>
      <c r="Y292" s="2"/>
      <c r="Z292" s="2"/>
    </row>
    <row r="293" spans="23:26" ht="13" x14ac:dyDescent="0.15">
      <c r="W293" s="2"/>
      <c r="Y293" s="2"/>
      <c r="Z293" s="2"/>
    </row>
    <row r="294" spans="23:26" ht="13" x14ac:dyDescent="0.15">
      <c r="W294" s="2"/>
      <c r="Y294" s="2"/>
      <c r="Z294" s="2"/>
    </row>
    <row r="295" spans="23:26" ht="13" x14ac:dyDescent="0.15">
      <c r="W295" s="2"/>
      <c r="Y295" s="2"/>
      <c r="Z295" s="2"/>
    </row>
    <row r="296" spans="23:26" ht="13" x14ac:dyDescent="0.15">
      <c r="W296" s="2"/>
      <c r="Y296" s="2"/>
      <c r="Z296" s="2"/>
    </row>
    <row r="297" spans="23:26" ht="13" x14ac:dyDescent="0.15">
      <c r="W297" s="2"/>
      <c r="Y297" s="2"/>
      <c r="Z297" s="2"/>
    </row>
    <row r="298" spans="23:26" ht="13" x14ac:dyDescent="0.15">
      <c r="W298" s="2"/>
      <c r="Y298" s="2"/>
      <c r="Z298" s="2"/>
    </row>
    <row r="299" spans="23:26" ht="13" x14ac:dyDescent="0.15">
      <c r="W299" s="2"/>
      <c r="Y299" s="2"/>
      <c r="Z299" s="2"/>
    </row>
    <row r="300" spans="23:26" ht="13" x14ac:dyDescent="0.15">
      <c r="W300" s="2"/>
      <c r="Y300" s="2"/>
      <c r="Z300" s="2"/>
    </row>
    <row r="301" spans="23:26" ht="13" x14ac:dyDescent="0.15">
      <c r="W301" s="2"/>
      <c r="Y301" s="2"/>
      <c r="Z301" s="2"/>
    </row>
    <row r="302" spans="23:26" ht="13" x14ac:dyDescent="0.15">
      <c r="W302" s="2"/>
      <c r="Y302" s="2"/>
      <c r="Z302" s="2"/>
    </row>
    <row r="303" spans="23:26" ht="13" x14ac:dyDescent="0.15">
      <c r="W303" s="2"/>
      <c r="Y303" s="2"/>
      <c r="Z303" s="2"/>
    </row>
    <row r="304" spans="23:26" ht="13" x14ac:dyDescent="0.15">
      <c r="W304" s="2"/>
      <c r="Y304" s="2"/>
      <c r="Z304" s="2"/>
    </row>
    <row r="305" spans="23:26" ht="13" x14ac:dyDescent="0.15">
      <c r="W305" s="2"/>
      <c r="Y305" s="2"/>
      <c r="Z305" s="2"/>
    </row>
    <row r="306" spans="23:26" ht="13" x14ac:dyDescent="0.15">
      <c r="W306" s="2"/>
      <c r="Y306" s="2"/>
      <c r="Z306" s="2"/>
    </row>
    <row r="307" spans="23:26" ht="13" x14ac:dyDescent="0.15">
      <c r="W307" s="2"/>
      <c r="Y307" s="2"/>
      <c r="Z307" s="2"/>
    </row>
    <row r="308" spans="23:26" ht="13" x14ac:dyDescent="0.15">
      <c r="W308" s="2"/>
      <c r="Y308" s="2"/>
      <c r="Z308" s="2"/>
    </row>
    <row r="309" spans="23:26" ht="13" x14ac:dyDescent="0.15">
      <c r="W309" s="2"/>
      <c r="Y309" s="2"/>
      <c r="Z309" s="2"/>
    </row>
    <row r="310" spans="23:26" ht="13" x14ac:dyDescent="0.15">
      <c r="W310" s="2"/>
      <c r="Y310" s="2"/>
      <c r="Z310" s="2"/>
    </row>
    <row r="311" spans="23:26" ht="13" x14ac:dyDescent="0.15">
      <c r="W311" s="2"/>
      <c r="Y311" s="2"/>
      <c r="Z311" s="2"/>
    </row>
    <row r="312" spans="23:26" ht="13" x14ac:dyDescent="0.15">
      <c r="W312" s="2"/>
      <c r="Y312" s="2"/>
      <c r="Z312" s="2"/>
    </row>
    <row r="313" spans="23:26" ht="13" x14ac:dyDescent="0.15">
      <c r="W313" s="2"/>
      <c r="Y313" s="2"/>
      <c r="Z313" s="2"/>
    </row>
    <row r="314" spans="23:26" ht="13" x14ac:dyDescent="0.15">
      <c r="W314" s="2"/>
      <c r="Y314" s="2"/>
      <c r="Z314" s="2"/>
    </row>
    <row r="315" spans="23:26" ht="13" x14ac:dyDescent="0.15">
      <c r="W315" s="2"/>
      <c r="Y315" s="2"/>
      <c r="Z315" s="2"/>
    </row>
    <row r="316" spans="23:26" ht="13" x14ac:dyDescent="0.15">
      <c r="W316" s="2"/>
      <c r="Y316" s="2"/>
      <c r="Z316" s="2"/>
    </row>
    <row r="317" spans="23:26" ht="13" x14ac:dyDescent="0.15">
      <c r="W317" s="2"/>
      <c r="Y317" s="2"/>
      <c r="Z317" s="2"/>
    </row>
    <row r="318" spans="23:26" ht="13" x14ac:dyDescent="0.15">
      <c r="W318" s="2"/>
      <c r="Y318" s="2"/>
      <c r="Z318" s="2"/>
    </row>
    <row r="319" spans="23:26" ht="13" x14ac:dyDescent="0.15">
      <c r="W319" s="2"/>
      <c r="Y319" s="2"/>
      <c r="Z319" s="2"/>
    </row>
    <row r="320" spans="23:26" ht="13" x14ac:dyDescent="0.15">
      <c r="W320" s="2"/>
      <c r="Y320" s="2"/>
      <c r="Z320" s="2"/>
    </row>
    <row r="321" spans="23:26" ht="13" x14ac:dyDescent="0.15">
      <c r="W321" s="2"/>
      <c r="Y321" s="2"/>
      <c r="Z321" s="2"/>
    </row>
    <row r="322" spans="23:26" ht="13" x14ac:dyDescent="0.15">
      <c r="W322" s="2"/>
      <c r="Y322" s="2"/>
      <c r="Z322" s="2"/>
    </row>
    <row r="323" spans="23:26" ht="13" x14ac:dyDescent="0.15">
      <c r="W323" s="2"/>
      <c r="Y323" s="2"/>
      <c r="Z323" s="2"/>
    </row>
    <row r="324" spans="23:26" ht="13" x14ac:dyDescent="0.15">
      <c r="W324" s="2"/>
      <c r="Y324" s="2"/>
      <c r="Z324" s="2"/>
    </row>
    <row r="325" spans="23:26" ht="13" x14ac:dyDescent="0.15">
      <c r="W325" s="2"/>
      <c r="Y325" s="2"/>
      <c r="Z325" s="2"/>
    </row>
    <row r="326" spans="23:26" ht="13" x14ac:dyDescent="0.15">
      <c r="W326" s="2"/>
      <c r="Y326" s="2"/>
      <c r="Z326" s="2"/>
    </row>
    <row r="327" spans="23:26" ht="13" x14ac:dyDescent="0.15">
      <c r="W327" s="2"/>
      <c r="Y327" s="2"/>
      <c r="Z327" s="2"/>
    </row>
    <row r="328" spans="23:26" ht="13" x14ac:dyDescent="0.15">
      <c r="W328" s="2"/>
      <c r="Y328" s="2"/>
      <c r="Z328" s="2"/>
    </row>
    <row r="329" spans="23:26" ht="13" x14ac:dyDescent="0.15">
      <c r="W329" s="2"/>
      <c r="Y329" s="2"/>
      <c r="Z329" s="2"/>
    </row>
    <row r="330" spans="23:26" ht="13" x14ac:dyDescent="0.15">
      <c r="W330" s="2"/>
      <c r="Y330" s="2"/>
      <c r="Z330" s="2"/>
    </row>
    <row r="331" spans="23:26" ht="13" x14ac:dyDescent="0.15">
      <c r="W331" s="2"/>
      <c r="Y331" s="2"/>
      <c r="Z331" s="2"/>
    </row>
    <row r="332" spans="23:26" ht="13" x14ac:dyDescent="0.15">
      <c r="W332" s="2"/>
      <c r="Y332" s="2"/>
      <c r="Z332" s="2"/>
    </row>
    <row r="333" spans="23:26" ht="13" x14ac:dyDescent="0.15">
      <c r="W333" s="2"/>
      <c r="Y333" s="2"/>
      <c r="Z333" s="2"/>
    </row>
    <row r="334" spans="23:26" ht="13" x14ac:dyDescent="0.15">
      <c r="W334" s="2"/>
      <c r="Y334" s="2"/>
      <c r="Z334" s="2"/>
    </row>
    <row r="335" spans="23:26" ht="13" x14ac:dyDescent="0.15">
      <c r="W335" s="2"/>
      <c r="Y335" s="2"/>
      <c r="Z335" s="2"/>
    </row>
    <row r="336" spans="23:26" ht="13" x14ac:dyDescent="0.15">
      <c r="W336" s="2"/>
      <c r="Y336" s="2"/>
      <c r="Z336" s="2"/>
    </row>
    <row r="337" spans="23:26" ht="13" x14ac:dyDescent="0.15">
      <c r="W337" s="2"/>
      <c r="Y337" s="2"/>
      <c r="Z337" s="2"/>
    </row>
    <row r="338" spans="23:26" ht="13" x14ac:dyDescent="0.15">
      <c r="W338" s="2"/>
      <c r="Y338" s="2"/>
      <c r="Z338" s="2"/>
    </row>
    <row r="339" spans="23:26" ht="13" x14ac:dyDescent="0.15">
      <c r="W339" s="2"/>
      <c r="Y339" s="2"/>
      <c r="Z339" s="2"/>
    </row>
    <row r="340" spans="23:26" ht="13" x14ac:dyDescent="0.15">
      <c r="W340" s="2"/>
      <c r="Y340" s="2"/>
      <c r="Z340" s="2"/>
    </row>
    <row r="341" spans="23:26" ht="13" x14ac:dyDescent="0.15">
      <c r="W341" s="2"/>
      <c r="Y341" s="2"/>
      <c r="Z341" s="2"/>
    </row>
    <row r="342" spans="23:26" ht="13" x14ac:dyDescent="0.15">
      <c r="W342" s="2"/>
      <c r="Y342" s="2"/>
      <c r="Z342" s="2"/>
    </row>
    <row r="343" spans="23:26" ht="13" x14ac:dyDescent="0.15">
      <c r="W343" s="2"/>
      <c r="Y343" s="2"/>
      <c r="Z343" s="2"/>
    </row>
    <row r="344" spans="23:26" ht="13" x14ac:dyDescent="0.15">
      <c r="W344" s="2"/>
      <c r="Y344" s="2"/>
      <c r="Z344" s="2"/>
    </row>
    <row r="345" spans="23:26" ht="13" x14ac:dyDescent="0.15">
      <c r="W345" s="2"/>
      <c r="Y345" s="2"/>
      <c r="Z345" s="2"/>
    </row>
    <row r="346" spans="23:26" ht="13" x14ac:dyDescent="0.15">
      <c r="W346" s="2"/>
      <c r="Y346" s="2"/>
      <c r="Z346" s="2"/>
    </row>
    <row r="347" spans="23:26" ht="13" x14ac:dyDescent="0.15">
      <c r="W347" s="2"/>
      <c r="Y347" s="2"/>
      <c r="Z347" s="2"/>
    </row>
    <row r="348" spans="23:26" ht="13" x14ac:dyDescent="0.15">
      <c r="W348" s="2"/>
      <c r="Y348" s="2"/>
      <c r="Z348" s="2"/>
    </row>
    <row r="349" spans="23:26" ht="13" x14ac:dyDescent="0.15">
      <c r="W349" s="2"/>
      <c r="Y349" s="2"/>
      <c r="Z349" s="2"/>
    </row>
    <row r="350" spans="23:26" ht="13" x14ac:dyDescent="0.15">
      <c r="W350" s="2"/>
      <c r="Y350" s="2"/>
      <c r="Z350" s="2"/>
    </row>
    <row r="351" spans="23:26" ht="13" x14ac:dyDescent="0.15">
      <c r="W351" s="2"/>
      <c r="Y351" s="2"/>
      <c r="Z351" s="2"/>
    </row>
    <row r="352" spans="23:26" ht="13" x14ac:dyDescent="0.15">
      <c r="W352" s="2"/>
      <c r="Y352" s="2"/>
      <c r="Z352" s="2"/>
    </row>
    <row r="353" spans="23:26" ht="13" x14ac:dyDescent="0.15">
      <c r="W353" s="2"/>
      <c r="Y353" s="2"/>
      <c r="Z353" s="2"/>
    </row>
    <row r="354" spans="23:26" ht="13" x14ac:dyDescent="0.15">
      <c r="W354" s="2"/>
      <c r="Y354" s="2"/>
      <c r="Z354" s="2"/>
    </row>
    <row r="355" spans="23:26" ht="13" x14ac:dyDescent="0.15">
      <c r="W355" s="2"/>
      <c r="Y355" s="2"/>
      <c r="Z355" s="2"/>
    </row>
    <row r="356" spans="23:26" ht="13" x14ac:dyDescent="0.15">
      <c r="W356" s="2"/>
      <c r="Y356" s="2"/>
      <c r="Z356" s="2"/>
    </row>
    <row r="357" spans="23:26" ht="13" x14ac:dyDescent="0.15">
      <c r="W357" s="2"/>
      <c r="Y357" s="2"/>
      <c r="Z357" s="2"/>
    </row>
    <row r="358" spans="23:26" ht="13" x14ac:dyDescent="0.15">
      <c r="W358" s="2"/>
      <c r="Y358" s="2"/>
      <c r="Z358" s="2"/>
    </row>
    <row r="359" spans="23:26" ht="13" x14ac:dyDescent="0.15">
      <c r="W359" s="2"/>
      <c r="Y359" s="2"/>
      <c r="Z359" s="2"/>
    </row>
    <row r="360" spans="23:26" ht="13" x14ac:dyDescent="0.15">
      <c r="W360" s="2"/>
      <c r="Y360" s="2"/>
      <c r="Z360" s="2"/>
    </row>
    <row r="361" spans="23:26" ht="13" x14ac:dyDescent="0.15">
      <c r="W361" s="2"/>
      <c r="Y361" s="2"/>
      <c r="Z361" s="2"/>
    </row>
    <row r="362" spans="23:26" ht="13" x14ac:dyDescent="0.15">
      <c r="W362" s="2"/>
      <c r="Y362" s="2"/>
      <c r="Z362" s="2"/>
    </row>
    <row r="363" spans="23:26" ht="13" x14ac:dyDescent="0.15">
      <c r="W363" s="2"/>
      <c r="Y363" s="2"/>
      <c r="Z363" s="2"/>
    </row>
    <row r="364" spans="23:26" ht="13" x14ac:dyDescent="0.15">
      <c r="W364" s="2"/>
      <c r="Y364" s="2"/>
      <c r="Z364" s="2"/>
    </row>
    <row r="365" spans="23:26" ht="13" x14ac:dyDescent="0.15">
      <c r="W365" s="2"/>
      <c r="Y365" s="2"/>
      <c r="Z365" s="2"/>
    </row>
    <row r="366" spans="23:26" ht="13" x14ac:dyDescent="0.15">
      <c r="W366" s="2"/>
      <c r="Y366" s="2"/>
      <c r="Z366" s="2"/>
    </row>
    <row r="367" spans="23:26" ht="13" x14ac:dyDescent="0.15">
      <c r="W367" s="2"/>
      <c r="Y367" s="2"/>
      <c r="Z367" s="2"/>
    </row>
    <row r="368" spans="23:26" ht="13" x14ac:dyDescent="0.15">
      <c r="W368" s="2"/>
      <c r="Y368" s="2"/>
      <c r="Z368" s="2"/>
    </row>
    <row r="369" spans="23:26" ht="13" x14ac:dyDescent="0.15">
      <c r="W369" s="2"/>
      <c r="Y369" s="2"/>
      <c r="Z369" s="2"/>
    </row>
    <row r="370" spans="23:26" ht="13" x14ac:dyDescent="0.15">
      <c r="W370" s="2"/>
      <c r="Y370" s="2"/>
      <c r="Z370" s="2"/>
    </row>
    <row r="371" spans="23:26" ht="13" x14ac:dyDescent="0.15">
      <c r="W371" s="2"/>
      <c r="Y371" s="2"/>
      <c r="Z371" s="2"/>
    </row>
    <row r="372" spans="23:26" ht="13" x14ac:dyDescent="0.15">
      <c r="W372" s="2"/>
      <c r="Y372" s="2"/>
      <c r="Z372" s="2"/>
    </row>
    <row r="373" spans="23:26" ht="13" x14ac:dyDescent="0.15">
      <c r="W373" s="2"/>
      <c r="Y373" s="2"/>
      <c r="Z373" s="2"/>
    </row>
    <row r="374" spans="23:26" ht="13" x14ac:dyDescent="0.15">
      <c r="W374" s="2"/>
      <c r="Y374" s="2"/>
      <c r="Z374" s="2"/>
    </row>
    <row r="375" spans="23:26" ht="13" x14ac:dyDescent="0.15">
      <c r="W375" s="2"/>
      <c r="Y375" s="2"/>
      <c r="Z375" s="2"/>
    </row>
    <row r="376" spans="23:26" ht="13" x14ac:dyDescent="0.15">
      <c r="W376" s="2"/>
      <c r="Y376" s="2"/>
      <c r="Z376" s="2"/>
    </row>
    <row r="377" spans="23:26" ht="13" x14ac:dyDescent="0.15">
      <c r="W377" s="2"/>
      <c r="Y377" s="2"/>
      <c r="Z377" s="2"/>
    </row>
    <row r="378" spans="23:26" ht="13" x14ac:dyDescent="0.15">
      <c r="W378" s="2"/>
      <c r="Y378" s="2"/>
      <c r="Z378" s="2"/>
    </row>
    <row r="379" spans="23:26" ht="13" x14ac:dyDescent="0.15">
      <c r="W379" s="2"/>
      <c r="Y379" s="2"/>
      <c r="Z379" s="2"/>
    </row>
    <row r="380" spans="23:26" ht="13" x14ac:dyDescent="0.15">
      <c r="W380" s="2"/>
      <c r="Y380" s="2"/>
      <c r="Z380" s="2"/>
    </row>
    <row r="381" spans="23:26" ht="13" x14ac:dyDescent="0.15">
      <c r="W381" s="2"/>
      <c r="Y381" s="2"/>
      <c r="Z381" s="2"/>
    </row>
    <row r="382" spans="23:26" ht="13" x14ac:dyDescent="0.15">
      <c r="W382" s="2"/>
      <c r="Y382" s="2"/>
      <c r="Z382" s="2"/>
    </row>
    <row r="383" spans="23:26" ht="13" x14ac:dyDescent="0.15">
      <c r="W383" s="2"/>
      <c r="Y383" s="2"/>
      <c r="Z383" s="2"/>
    </row>
    <row r="384" spans="23:26" ht="13" x14ac:dyDescent="0.15">
      <c r="W384" s="2"/>
      <c r="Y384" s="2"/>
      <c r="Z384" s="2"/>
    </row>
    <row r="385" spans="23:26" ht="13" x14ac:dyDescent="0.15">
      <c r="W385" s="2"/>
      <c r="Y385" s="2"/>
      <c r="Z385" s="2"/>
    </row>
    <row r="386" spans="23:26" ht="13" x14ac:dyDescent="0.15">
      <c r="W386" s="2"/>
      <c r="Y386" s="2"/>
      <c r="Z386" s="2"/>
    </row>
    <row r="387" spans="23:26" ht="13" x14ac:dyDescent="0.15">
      <c r="W387" s="2"/>
      <c r="Y387" s="2"/>
      <c r="Z387" s="2"/>
    </row>
    <row r="388" spans="23:26" ht="13" x14ac:dyDescent="0.15">
      <c r="W388" s="2"/>
      <c r="Y388" s="2"/>
      <c r="Z388" s="2"/>
    </row>
    <row r="389" spans="23:26" ht="13" x14ac:dyDescent="0.15">
      <c r="W389" s="2"/>
      <c r="Y389" s="2"/>
      <c r="Z389" s="2"/>
    </row>
    <row r="390" spans="23:26" ht="13" x14ac:dyDescent="0.15">
      <c r="W390" s="2"/>
      <c r="Y390" s="2"/>
      <c r="Z390" s="2"/>
    </row>
    <row r="391" spans="23:26" ht="13" x14ac:dyDescent="0.15">
      <c r="W391" s="2"/>
      <c r="Y391" s="2"/>
      <c r="Z391" s="2"/>
    </row>
    <row r="392" spans="23:26" ht="13" x14ac:dyDescent="0.15">
      <c r="W392" s="2"/>
      <c r="Y392" s="2"/>
      <c r="Z392" s="2"/>
    </row>
    <row r="393" spans="23:26" ht="13" x14ac:dyDescent="0.15">
      <c r="W393" s="2"/>
      <c r="Y393" s="2"/>
      <c r="Z393" s="2"/>
    </row>
    <row r="394" spans="23:26" ht="13" x14ac:dyDescent="0.15">
      <c r="W394" s="2"/>
      <c r="Y394" s="2"/>
      <c r="Z394" s="2"/>
    </row>
    <row r="395" spans="23:26" ht="13" x14ac:dyDescent="0.15">
      <c r="W395" s="2"/>
      <c r="Y395" s="2"/>
      <c r="Z395" s="2"/>
    </row>
    <row r="396" spans="23:26" ht="13" x14ac:dyDescent="0.15">
      <c r="W396" s="2"/>
      <c r="Y396" s="2"/>
      <c r="Z396" s="2"/>
    </row>
    <row r="397" spans="23:26" ht="13" x14ac:dyDescent="0.15">
      <c r="W397" s="2"/>
      <c r="Y397" s="2"/>
      <c r="Z397" s="2"/>
    </row>
    <row r="398" spans="23:26" ht="13" x14ac:dyDescent="0.15">
      <c r="W398" s="2"/>
      <c r="Y398" s="2"/>
      <c r="Z398" s="2"/>
    </row>
    <row r="399" spans="23:26" ht="13" x14ac:dyDescent="0.15">
      <c r="W399" s="2"/>
      <c r="Y399" s="2"/>
      <c r="Z399" s="2"/>
    </row>
    <row r="400" spans="23:26" ht="13" x14ac:dyDescent="0.15">
      <c r="W400" s="2"/>
      <c r="Y400" s="2"/>
      <c r="Z400" s="2"/>
    </row>
    <row r="401" spans="23:26" ht="13" x14ac:dyDescent="0.15">
      <c r="W401" s="2"/>
      <c r="Y401" s="2"/>
      <c r="Z401" s="2"/>
    </row>
    <row r="402" spans="23:26" ht="13" x14ac:dyDescent="0.15">
      <c r="W402" s="2"/>
      <c r="Y402" s="2"/>
      <c r="Z402" s="2"/>
    </row>
    <row r="403" spans="23:26" ht="13" x14ac:dyDescent="0.15">
      <c r="W403" s="2"/>
      <c r="Y403" s="2"/>
      <c r="Z403" s="2"/>
    </row>
    <row r="404" spans="23:26" ht="13" x14ac:dyDescent="0.15">
      <c r="W404" s="2"/>
      <c r="Y404" s="2"/>
      <c r="Z404" s="2"/>
    </row>
    <row r="405" spans="23:26" ht="13" x14ac:dyDescent="0.15">
      <c r="W405" s="2"/>
      <c r="Y405" s="2"/>
      <c r="Z405" s="2"/>
    </row>
    <row r="406" spans="23:26" ht="13" x14ac:dyDescent="0.15">
      <c r="W406" s="2"/>
      <c r="Y406" s="2"/>
      <c r="Z406" s="2"/>
    </row>
    <row r="407" spans="23:26" ht="13" x14ac:dyDescent="0.15">
      <c r="W407" s="2"/>
      <c r="Y407" s="2"/>
      <c r="Z407" s="2"/>
    </row>
    <row r="408" spans="23:26" ht="13" x14ac:dyDescent="0.15">
      <c r="W408" s="2"/>
      <c r="Y408" s="2"/>
      <c r="Z408" s="2"/>
    </row>
    <row r="409" spans="23:26" ht="13" x14ac:dyDescent="0.15">
      <c r="W409" s="2"/>
      <c r="Y409" s="2"/>
      <c r="Z409" s="2"/>
    </row>
    <row r="410" spans="23:26" ht="13" x14ac:dyDescent="0.15">
      <c r="W410" s="2"/>
      <c r="Y410" s="2"/>
      <c r="Z410" s="2"/>
    </row>
    <row r="411" spans="23:26" ht="13" x14ac:dyDescent="0.15">
      <c r="W411" s="2"/>
      <c r="Y411" s="2"/>
      <c r="Z411" s="2"/>
    </row>
    <row r="412" spans="23:26" ht="13" x14ac:dyDescent="0.15">
      <c r="W412" s="2"/>
      <c r="Y412" s="2"/>
      <c r="Z412" s="2"/>
    </row>
    <row r="413" spans="23:26" ht="13" x14ac:dyDescent="0.15">
      <c r="W413" s="2"/>
      <c r="Y413" s="2"/>
      <c r="Z413" s="2"/>
    </row>
    <row r="414" spans="23:26" ht="13" x14ac:dyDescent="0.15">
      <c r="W414" s="2"/>
      <c r="Y414" s="2"/>
      <c r="Z414" s="2"/>
    </row>
    <row r="415" spans="23:26" ht="13" x14ac:dyDescent="0.15">
      <c r="W415" s="2"/>
      <c r="Y415" s="2"/>
      <c r="Z415" s="2"/>
    </row>
    <row r="416" spans="23:26" ht="13" x14ac:dyDescent="0.15">
      <c r="W416" s="2"/>
      <c r="Y416" s="2"/>
      <c r="Z416" s="2"/>
    </row>
    <row r="417" spans="23:26" ht="13" x14ac:dyDescent="0.15">
      <c r="W417" s="2"/>
      <c r="Y417" s="2"/>
      <c r="Z417" s="2"/>
    </row>
    <row r="418" spans="23:26" ht="13" x14ac:dyDescent="0.15">
      <c r="W418" s="2"/>
      <c r="Y418" s="2"/>
      <c r="Z418" s="2"/>
    </row>
    <row r="419" spans="23:26" ht="13" x14ac:dyDescent="0.15">
      <c r="W419" s="2"/>
      <c r="Y419" s="2"/>
      <c r="Z419" s="2"/>
    </row>
    <row r="420" spans="23:26" ht="13" x14ac:dyDescent="0.15">
      <c r="W420" s="2"/>
      <c r="Y420" s="2"/>
      <c r="Z420" s="2"/>
    </row>
    <row r="421" spans="23:26" ht="13" x14ac:dyDescent="0.15">
      <c r="W421" s="2"/>
      <c r="Y421" s="2"/>
      <c r="Z421" s="2"/>
    </row>
    <row r="422" spans="23:26" ht="13" x14ac:dyDescent="0.15">
      <c r="W422" s="2"/>
      <c r="Y422" s="2"/>
      <c r="Z422" s="2"/>
    </row>
    <row r="423" spans="23:26" ht="13" x14ac:dyDescent="0.15">
      <c r="W423" s="2"/>
      <c r="Y423" s="2"/>
      <c r="Z423" s="2"/>
    </row>
    <row r="424" spans="23:26" ht="13" x14ac:dyDescent="0.15">
      <c r="W424" s="2"/>
      <c r="Y424" s="2"/>
      <c r="Z424" s="2"/>
    </row>
    <row r="425" spans="23:26" ht="13" x14ac:dyDescent="0.15">
      <c r="W425" s="2"/>
      <c r="Y425" s="2"/>
      <c r="Z425" s="2"/>
    </row>
    <row r="426" spans="23:26" ht="13" x14ac:dyDescent="0.15">
      <c r="W426" s="2"/>
      <c r="Y426" s="2"/>
      <c r="Z426" s="2"/>
    </row>
    <row r="427" spans="23:26" ht="13" x14ac:dyDescent="0.15">
      <c r="W427" s="2"/>
      <c r="Y427" s="2"/>
      <c r="Z427" s="2"/>
    </row>
    <row r="428" spans="23:26" ht="13" x14ac:dyDescent="0.15">
      <c r="W428" s="2"/>
      <c r="Y428" s="2"/>
      <c r="Z428" s="2"/>
    </row>
    <row r="429" spans="23:26" ht="13" x14ac:dyDescent="0.15">
      <c r="W429" s="2"/>
      <c r="Y429" s="2"/>
      <c r="Z429" s="2"/>
    </row>
    <row r="430" spans="23:26" ht="13" x14ac:dyDescent="0.15">
      <c r="W430" s="2"/>
      <c r="Y430" s="2"/>
      <c r="Z430" s="2"/>
    </row>
    <row r="431" spans="23:26" ht="13" x14ac:dyDescent="0.15">
      <c r="W431" s="2"/>
      <c r="Y431" s="2"/>
      <c r="Z431" s="2"/>
    </row>
    <row r="432" spans="23:26" ht="13" x14ac:dyDescent="0.15">
      <c r="W432" s="2"/>
      <c r="Y432" s="2"/>
      <c r="Z432" s="2"/>
    </row>
    <row r="433" spans="23:26" ht="13" x14ac:dyDescent="0.15">
      <c r="W433" s="2"/>
      <c r="Y433" s="2"/>
      <c r="Z433" s="2"/>
    </row>
    <row r="434" spans="23:26" ht="13" x14ac:dyDescent="0.15">
      <c r="W434" s="2"/>
      <c r="Y434" s="2"/>
      <c r="Z434" s="2"/>
    </row>
    <row r="435" spans="23:26" ht="13" x14ac:dyDescent="0.15">
      <c r="W435" s="2"/>
      <c r="Y435" s="2"/>
      <c r="Z435" s="2"/>
    </row>
    <row r="436" spans="23:26" ht="13" x14ac:dyDescent="0.15">
      <c r="W436" s="2"/>
      <c r="Y436" s="2"/>
      <c r="Z436" s="2"/>
    </row>
    <row r="437" spans="23:26" ht="13" x14ac:dyDescent="0.15">
      <c r="W437" s="2"/>
      <c r="Y437" s="2"/>
      <c r="Z437" s="2"/>
    </row>
    <row r="438" spans="23:26" ht="13" x14ac:dyDescent="0.15">
      <c r="W438" s="2"/>
      <c r="Y438" s="2"/>
      <c r="Z438" s="2"/>
    </row>
    <row r="439" spans="23:26" ht="13" x14ac:dyDescent="0.15">
      <c r="W439" s="2"/>
      <c r="Y439" s="2"/>
      <c r="Z439" s="2"/>
    </row>
    <row r="440" spans="23:26" ht="13" x14ac:dyDescent="0.15">
      <c r="W440" s="2"/>
      <c r="Y440" s="2"/>
      <c r="Z440" s="2"/>
    </row>
    <row r="441" spans="23:26" ht="13" x14ac:dyDescent="0.15">
      <c r="W441" s="2"/>
      <c r="Y441" s="2"/>
      <c r="Z441" s="2"/>
    </row>
    <row r="442" spans="23:26" ht="13" x14ac:dyDescent="0.15">
      <c r="W442" s="2"/>
      <c r="Y442" s="2"/>
      <c r="Z442" s="2"/>
    </row>
    <row r="443" spans="23:26" ht="13" x14ac:dyDescent="0.15">
      <c r="W443" s="2"/>
      <c r="Y443" s="2"/>
      <c r="Z443" s="2"/>
    </row>
    <row r="444" spans="23:26" ht="13" x14ac:dyDescent="0.15">
      <c r="W444" s="2"/>
      <c r="Y444" s="2"/>
      <c r="Z444" s="2"/>
    </row>
    <row r="445" spans="23:26" ht="13" x14ac:dyDescent="0.15">
      <c r="W445" s="2"/>
      <c r="Y445" s="2"/>
      <c r="Z445" s="2"/>
    </row>
    <row r="446" spans="23:26" ht="13" x14ac:dyDescent="0.15">
      <c r="W446" s="2"/>
      <c r="Y446" s="2"/>
      <c r="Z446" s="2"/>
    </row>
    <row r="447" spans="23:26" ht="13" x14ac:dyDescent="0.15">
      <c r="W447" s="2"/>
      <c r="Y447" s="2"/>
      <c r="Z447" s="2"/>
    </row>
    <row r="448" spans="23:26" ht="13" x14ac:dyDescent="0.15">
      <c r="W448" s="2"/>
      <c r="Y448" s="2"/>
      <c r="Z448" s="2"/>
    </row>
    <row r="449" spans="23:26" ht="13" x14ac:dyDescent="0.15">
      <c r="W449" s="2"/>
      <c r="Y449" s="2"/>
      <c r="Z449" s="2"/>
    </row>
    <row r="450" spans="23:26" ht="13" x14ac:dyDescent="0.15">
      <c r="W450" s="2"/>
      <c r="Y450" s="2"/>
      <c r="Z450" s="2"/>
    </row>
    <row r="451" spans="23:26" ht="13" x14ac:dyDescent="0.15">
      <c r="W451" s="2"/>
      <c r="Y451" s="2"/>
      <c r="Z451" s="2"/>
    </row>
    <row r="452" spans="23:26" ht="13" x14ac:dyDescent="0.15">
      <c r="W452" s="2"/>
      <c r="Y452" s="2"/>
      <c r="Z452" s="2"/>
    </row>
    <row r="453" spans="23:26" ht="13" x14ac:dyDescent="0.15">
      <c r="W453" s="2"/>
      <c r="Y453" s="2"/>
      <c r="Z453" s="2"/>
    </row>
    <row r="454" spans="23:26" ht="13" x14ac:dyDescent="0.15">
      <c r="W454" s="2"/>
      <c r="Y454" s="2"/>
      <c r="Z454" s="2"/>
    </row>
    <row r="455" spans="23:26" ht="13" x14ac:dyDescent="0.15">
      <c r="W455" s="2"/>
      <c r="Y455" s="2"/>
      <c r="Z455" s="2"/>
    </row>
    <row r="456" spans="23:26" ht="13" x14ac:dyDescent="0.15">
      <c r="W456" s="2"/>
      <c r="Y456" s="2"/>
      <c r="Z456" s="2"/>
    </row>
    <row r="457" spans="23:26" ht="13" x14ac:dyDescent="0.15">
      <c r="W457" s="2"/>
      <c r="Y457" s="2"/>
      <c r="Z457" s="2"/>
    </row>
    <row r="458" spans="23:26" ht="13" x14ac:dyDescent="0.15">
      <c r="W458" s="2"/>
      <c r="Y458" s="2"/>
      <c r="Z458" s="2"/>
    </row>
    <row r="459" spans="23:26" ht="13" x14ac:dyDescent="0.15">
      <c r="W459" s="2"/>
      <c r="Y459" s="2"/>
      <c r="Z459" s="2"/>
    </row>
    <row r="460" spans="23:26" ht="13" x14ac:dyDescent="0.15">
      <c r="W460" s="2"/>
      <c r="Y460" s="2"/>
      <c r="Z460" s="2"/>
    </row>
    <row r="461" spans="23:26" ht="13" x14ac:dyDescent="0.15">
      <c r="W461" s="2"/>
      <c r="Y461" s="2"/>
      <c r="Z461" s="2"/>
    </row>
    <row r="462" spans="23:26" ht="13" x14ac:dyDescent="0.15">
      <c r="W462" s="2"/>
      <c r="Y462" s="2"/>
      <c r="Z462" s="2"/>
    </row>
    <row r="463" spans="23:26" ht="13" x14ac:dyDescent="0.15">
      <c r="W463" s="2"/>
      <c r="Y463" s="2"/>
      <c r="Z463" s="2"/>
    </row>
    <row r="464" spans="23:26" ht="13" x14ac:dyDescent="0.15">
      <c r="W464" s="2"/>
      <c r="Y464" s="2"/>
      <c r="Z464" s="2"/>
    </row>
    <row r="465" spans="23:26" ht="13" x14ac:dyDescent="0.15">
      <c r="W465" s="2"/>
      <c r="Y465" s="2"/>
      <c r="Z465" s="2"/>
    </row>
    <row r="466" spans="23:26" ht="13" x14ac:dyDescent="0.15">
      <c r="W466" s="2"/>
      <c r="Y466" s="2"/>
      <c r="Z466" s="2"/>
    </row>
    <row r="467" spans="23:26" ht="13" x14ac:dyDescent="0.15">
      <c r="W467" s="2"/>
      <c r="Y467" s="2"/>
      <c r="Z467" s="2"/>
    </row>
    <row r="468" spans="23:26" ht="13" x14ac:dyDescent="0.15">
      <c r="W468" s="2"/>
      <c r="Y468" s="2"/>
      <c r="Z468" s="2"/>
    </row>
    <row r="469" spans="23:26" ht="13" x14ac:dyDescent="0.15">
      <c r="W469" s="2"/>
      <c r="Y469" s="2"/>
      <c r="Z469" s="2"/>
    </row>
    <row r="470" spans="23:26" ht="13" x14ac:dyDescent="0.15">
      <c r="W470" s="2"/>
      <c r="Y470" s="2"/>
      <c r="Z470" s="2"/>
    </row>
    <row r="471" spans="23:26" ht="13" x14ac:dyDescent="0.15">
      <c r="W471" s="2"/>
      <c r="Y471" s="2"/>
      <c r="Z471" s="2"/>
    </row>
    <row r="472" spans="23:26" ht="13" x14ac:dyDescent="0.15">
      <c r="W472" s="2"/>
      <c r="Y472" s="2"/>
      <c r="Z472" s="2"/>
    </row>
    <row r="473" spans="23:26" ht="13" x14ac:dyDescent="0.15">
      <c r="W473" s="2"/>
      <c r="Y473" s="2"/>
      <c r="Z473" s="2"/>
    </row>
    <row r="474" spans="23:26" ht="13" x14ac:dyDescent="0.15">
      <c r="W474" s="2"/>
      <c r="Y474" s="2"/>
      <c r="Z474" s="2"/>
    </row>
    <row r="475" spans="23:26" ht="13" x14ac:dyDescent="0.15">
      <c r="W475" s="2"/>
      <c r="Y475" s="2"/>
      <c r="Z475" s="2"/>
    </row>
    <row r="476" spans="23:26" ht="13" x14ac:dyDescent="0.15">
      <c r="W476" s="2"/>
      <c r="Y476" s="2"/>
      <c r="Z476" s="2"/>
    </row>
    <row r="477" spans="23:26" ht="13" x14ac:dyDescent="0.15">
      <c r="W477" s="2"/>
      <c r="Y477" s="2"/>
      <c r="Z477" s="2"/>
    </row>
    <row r="478" spans="23:26" ht="13" x14ac:dyDescent="0.15">
      <c r="W478" s="2"/>
      <c r="Y478" s="2"/>
      <c r="Z478" s="2"/>
    </row>
    <row r="479" spans="23:26" ht="13" x14ac:dyDescent="0.15">
      <c r="W479" s="2"/>
      <c r="Y479" s="2"/>
      <c r="Z479" s="2"/>
    </row>
    <row r="480" spans="23:26" ht="13" x14ac:dyDescent="0.15">
      <c r="W480" s="2"/>
      <c r="Y480" s="2"/>
      <c r="Z480" s="2"/>
    </row>
    <row r="481" spans="23:26" ht="13" x14ac:dyDescent="0.15">
      <c r="W481" s="2"/>
      <c r="Y481" s="2"/>
      <c r="Z481" s="2"/>
    </row>
    <row r="482" spans="23:26" ht="13" x14ac:dyDescent="0.15">
      <c r="W482" s="2"/>
      <c r="Y482" s="2"/>
      <c r="Z482" s="2"/>
    </row>
    <row r="483" spans="23:26" ht="13" x14ac:dyDescent="0.15">
      <c r="W483" s="2"/>
      <c r="Y483" s="2"/>
      <c r="Z483" s="2"/>
    </row>
    <row r="484" spans="23:26" ht="13" x14ac:dyDescent="0.15">
      <c r="W484" s="2"/>
      <c r="Y484" s="2"/>
      <c r="Z484" s="2"/>
    </row>
    <row r="485" spans="23:26" ht="13" x14ac:dyDescent="0.15">
      <c r="W485" s="2"/>
      <c r="Y485" s="2"/>
      <c r="Z485" s="2"/>
    </row>
    <row r="486" spans="23:26" ht="13" x14ac:dyDescent="0.15">
      <c r="W486" s="2"/>
      <c r="Y486" s="2"/>
      <c r="Z486" s="2"/>
    </row>
    <row r="487" spans="23:26" ht="13" x14ac:dyDescent="0.15">
      <c r="W487" s="2"/>
      <c r="Y487" s="2"/>
      <c r="Z487" s="2"/>
    </row>
    <row r="488" spans="23:26" ht="13" x14ac:dyDescent="0.15">
      <c r="W488" s="2"/>
      <c r="Y488" s="2"/>
      <c r="Z488" s="2"/>
    </row>
    <row r="489" spans="23:26" ht="13" x14ac:dyDescent="0.15">
      <c r="W489" s="2"/>
      <c r="Y489" s="2"/>
      <c r="Z489" s="2"/>
    </row>
    <row r="490" spans="23:26" ht="13" x14ac:dyDescent="0.15">
      <c r="W490" s="2"/>
      <c r="Y490" s="2"/>
      <c r="Z490" s="2"/>
    </row>
    <row r="491" spans="23:26" ht="13" x14ac:dyDescent="0.15">
      <c r="W491" s="2"/>
      <c r="Y491" s="2"/>
      <c r="Z491" s="2"/>
    </row>
    <row r="492" spans="23:26" ht="13" x14ac:dyDescent="0.15">
      <c r="W492" s="2"/>
      <c r="Y492" s="2"/>
      <c r="Z492" s="2"/>
    </row>
    <row r="493" spans="23:26" ht="13" x14ac:dyDescent="0.15">
      <c r="W493" s="2"/>
      <c r="Y493" s="2"/>
      <c r="Z493" s="2"/>
    </row>
    <row r="494" spans="23:26" ht="13" x14ac:dyDescent="0.15">
      <c r="W494" s="2"/>
      <c r="Y494" s="2"/>
      <c r="Z494" s="2"/>
    </row>
    <row r="495" spans="23:26" ht="13" x14ac:dyDescent="0.15">
      <c r="W495" s="2"/>
      <c r="Y495" s="2"/>
      <c r="Z495" s="2"/>
    </row>
    <row r="496" spans="23:26" ht="13" x14ac:dyDescent="0.15">
      <c r="W496" s="2"/>
      <c r="Y496" s="2"/>
      <c r="Z496" s="2"/>
    </row>
    <row r="497" spans="23:26" ht="13" x14ac:dyDescent="0.15">
      <c r="W497" s="2"/>
      <c r="Y497" s="2"/>
      <c r="Z497" s="2"/>
    </row>
    <row r="498" spans="23:26" ht="13" x14ac:dyDescent="0.15">
      <c r="W498" s="2"/>
      <c r="Y498" s="2"/>
      <c r="Z498" s="2"/>
    </row>
    <row r="499" spans="23:26" ht="13" x14ac:dyDescent="0.15">
      <c r="W499" s="2"/>
      <c r="Y499" s="2"/>
      <c r="Z499" s="2"/>
    </row>
    <row r="500" spans="23:26" ht="13" x14ac:dyDescent="0.15">
      <c r="W500" s="2"/>
      <c r="Y500" s="2"/>
      <c r="Z500" s="2"/>
    </row>
    <row r="501" spans="23:26" ht="13" x14ac:dyDescent="0.15">
      <c r="W501" s="2"/>
      <c r="Y501" s="2"/>
      <c r="Z501" s="2"/>
    </row>
    <row r="502" spans="23:26" ht="13" x14ac:dyDescent="0.15">
      <c r="W502" s="2"/>
      <c r="Y502" s="2"/>
      <c r="Z502" s="2"/>
    </row>
    <row r="503" spans="23:26" ht="13" x14ac:dyDescent="0.15">
      <c r="W503" s="2"/>
      <c r="Y503" s="2"/>
      <c r="Z503" s="2"/>
    </row>
    <row r="504" spans="23:26" ht="13" x14ac:dyDescent="0.15">
      <c r="W504" s="2"/>
      <c r="Y504" s="2"/>
      <c r="Z504" s="2"/>
    </row>
    <row r="505" spans="23:26" ht="13" x14ac:dyDescent="0.15">
      <c r="W505" s="2"/>
      <c r="Y505" s="2"/>
      <c r="Z505" s="2"/>
    </row>
    <row r="506" spans="23:26" ht="13" x14ac:dyDescent="0.15">
      <c r="W506" s="2"/>
      <c r="Y506" s="2"/>
      <c r="Z506" s="2"/>
    </row>
    <row r="507" spans="23:26" ht="13" x14ac:dyDescent="0.15">
      <c r="W507" s="2"/>
      <c r="Y507" s="2"/>
      <c r="Z507" s="2"/>
    </row>
    <row r="508" spans="23:26" ht="13" x14ac:dyDescent="0.15">
      <c r="W508" s="2"/>
      <c r="Y508" s="2"/>
      <c r="Z508" s="2"/>
    </row>
    <row r="509" spans="23:26" ht="13" x14ac:dyDescent="0.15">
      <c r="W509" s="2"/>
      <c r="Y509" s="2"/>
      <c r="Z509" s="2"/>
    </row>
    <row r="510" spans="23:26" ht="13" x14ac:dyDescent="0.15">
      <c r="W510" s="2"/>
      <c r="Y510" s="2"/>
      <c r="Z510" s="2"/>
    </row>
    <row r="511" spans="23:26" ht="13" x14ac:dyDescent="0.15">
      <c r="W511" s="2"/>
      <c r="Y511" s="2"/>
      <c r="Z511" s="2"/>
    </row>
    <row r="512" spans="23:26" ht="13" x14ac:dyDescent="0.15">
      <c r="W512" s="2"/>
      <c r="Y512" s="2"/>
      <c r="Z512" s="2"/>
    </row>
    <row r="513" spans="23:26" ht="13" x14ac:dyDescent="0.15">
      <c r="W513" s="2"/>
      <c r="Y513" s="2"/>
      <c r="Z513" s="2"/>
    </row>
    <row r="514" spans="23:26" ht="13" x14ac:dyDescent="0.15">
      <c r="W514" s="2"/>
      <c r="Y514" s="2"/>
      <c r="Z514" s="2"/>
    </row>
    <row r="515" spans="23:26" ht="13" x14ac:dyDescent="0.15">
      <c r="W515" s="2"/>
      <c r="Y515" s="2"/>
      <c r="Z515" s="2"/>
    </row>
    <row r="516" spans="23:26" ht="13" x14ac:dyDescent="0.15">
      <c r="W516" s="2"/>
      <c r="Y516" s="2"/>
      <c r="Z516" s="2"/>
    </row>
    <row r="517" spans="23:26" ht="13" x14ac:dyDescent="0.15">
      <c r="W517" s="2"/>
      <c r="Y517" s="2"/>
      <c r="Z517" s="2"/>
    </row>
    <row r="518" spans="23:26" ht="13" x14ac:dyDescent="0.15">
      <c r="W518" s="2"/>
      <c r="Y518" s="2"/>
      <c r="Z518" s="2"/>
    </row>
    <row r="519" spans="23:26" ht="13" x14ac:dyDescent="0.15">
      <c r="W519" s="2"/>
      <c r="Y519" s="2"/>
      <c r="Z519" s="2"/>
    </row>
    <row r="520" spans="23:26" ht="13" x14ac:dyDescent="0.15">
      <c r="W520" s="2"/>
      <c r="Y520" s="2"/>
      <c r="Z520" s="2"/>
    </row>
    <row r="521" spans="23:26" ht="13" x14ac:dyDescent="0.15">
      <c r="W521" s="2"/>
      <c r="Y521" s="2"/>
      <c r="Z521" s="2"/>
    </row>
    <row r="522" spans="23:26" ht="13" x14ac:dyDescent="0.15">
      <c r="W522" s="2"/>
      <c r="Y522" s="2"/>
      <c r="Z522" s="2"/>
    </row>
    <row r="523" spans="23:26" ht="13" x14ac:dyDescent="0.15">
      <c r="W523" s="2"/>
      <c r="Y523" s="2"/>
      <c r="Z523" s="2"/>
    </row>
    <row r="524" spans="23:26" ht="13" x14ac:dyDescent="0.15">
      <c r="W524" s="2"/>
      <c r="Y524" s="2"/>
      <c r="Z524" s="2"/>
    </row>
    <row r="525" spans="23:26" ht="13" x14ac:dyDescent="0.15">
      <c r="W525" s="2"/>
      <c r="Y525" s="2"/>
      <c r="Z525" s="2"/>
    </row>
    <row r="526" spans="23:26" ht="13" x14ac:dyDescent="0.15">
      <c r="W526" s="2"/>
      <c r="Y526" s="2"/>
      <c r="Z526" s="2"/>
    </row>
    <row r="527" spans="23:26" ht="13" x14ac:dyDescent="0.15">
      <c r="W527" s="2"/>
      <c r="Y527" s="2"/>
      <c r="Z527" s="2"/>
    </row>
    <row r="528" spans="23:26" ht="13" x14ac:dyDescent="0.15">
      <c r="W528" s="2"/>
      <c r="Y528" s="2"/>
      <c r="Z528" s="2"/>
    </row>
    <row r="529" spans="23:26" ht="13" x14ac:dyDescent="0.15">
      <c r="W529" s="2"/>
      <c r="Y529" s="2"/>
      <c r="Z529" s="2"/>
    </row>
    <row r="530" spans="23:26" ht="13" x14ac:dyDescent="0.15">
      <c r="W530" s="2"/>
      <c r="Y530" s="2"/>
      <c r="Z530" s="2"/>
    </row>
    <row r="531" spans="23:26" ht="13" x14ac:dyDescent="0.15">
      <c r="W531" s="2"/>
      <c r="Y531" s="2"/>
      <c r="Z531" s="2"/>
    </row>
    <row r="532" spans="23:26" ht="13" x14ac:dyDescent="0.15">
      <c r="W532" s="2"/>
      <c r="Y532" s="2"/>
      <c r="Z532" s="2"/>
    </row>
    <row r="533" spans="23:26" ht="13" x14ac:dyDescent="0.15">
      <c r="W533" s="2"/>
      <c r="Y533" s="2"/>
      <c r="Z533" s="2"/>
    </row>
    <row r="534" spans="23:26" ht="13" x14ac:dyDescent="0.15">
      <c r="W534" s="2"/>
      <c r="Y534" s="2"/>
      <c r="Z534" s="2"/>
    </row>
    <row r="535" spans="23:26" ht="13" x14ac:dyDescent="0.15">
      <c r="W535" s="2"/>
      <c r="Y535" s="2"/>
      <c r="Z535" s="2"/>
    </row>
    <row r="536" spans="23:26" ht="13" x14ac:dyDescent="0.15">
      <c r="W536" s="2"/>
      <c r="Y536" s="2"/>
      <c r="Z536" s="2"/>
    </row>
    <row r="537" spans="23:26" ht="13" x14ac:dyDescent="0.15">
      <c r="W537" s="2"/>
      <c r="Y537" s="2"/>
      <c r="Z537" s="2"/>
    </row>
    <row r="538" spans="23:26" ht="13" x14ac:dyDescent="0.15">
      <c r="W538" s="2"/>
      <c r="Y538" s="2"/>
      <c r="Z538" s="2"/>
    </row>
    <row r="539" spans="23:26" ht="13" x14ac:dyDescent="0.15">
      <c r="W539" s="2"/>
      <c r="Y539" s="2"/>
      <c r="Z539" s="2"/>
    </row>
    <row r="540" spans="23:26" ht="13" x14ac:dyDescent="0.15">
      <c r="W540" s="2"/>
      <c r="Y540" s="2"/>
      <c r="Z540" s="2"/>
    </row>
    <row r="541" spans="23:26" ht="13" x14ac:dyDescent="0.15">
      <c r="W541" s="2"/>
      <c r="Y541" s="2"/>
      <c r="Z541" s="2"/>
    </row>
    <row r="542" spans="23:26" ht="13" x14ac:dyDescent="0.15">
      <c r="W542" s="2"/>
      <c r="Y542" s="2"/>
      <c r="Z542" s="2"/>
    </row>
    <row r="543" spans="23:26" ht="13" x14ac:dyDescent="0.15">
      <c r="W543" s="2"/>
      <c r="Y543" s="2"/>
      <c r="Z543" s="2"/>
    </row>
    <row r="544" spans="23:26" ht="13" x14ac:dyDescent="0.15">
      <c r="W544" s="2"/>
      <c r="Y544" s="2"/>
      <c r="Z544" s="2"/>
    </row>
    <row r="545" spans="23:26" ht="13" x14ac:dyDescent="0.15">
      <c r="W545" s="2"/>
      <c r="Y545" s="2"/>
      <c r="Z545" s="2"/>
    </row>
    <row r="546" spans="23:26" ht="13" x14ac:dyDescent="0.15">
      <c r="W546" s="2"/>
      <c r="Y546" s="2"/>
      <c r="Z546" s="2"/>
    </row>
    <row r="547" spans="23:26" ht="13" x14ac:dyDescent="0.15">
      <c r="W547" s="2"/>
      <c r="Y547" s="2"/>
      <c r="Z547" s="2"/>
    </row>
    <row r="548" spans="23:26" ht="13" x14ac:dyDescent="0.15">
      <c r="W548" s="2"/>
      <c r="Y548" s="2"/>
      <c r="Z548" s="2"/>
    </row>
    <row r="549" spans="23:26" ht="13" x14ac:dyDescent="0.15">
      <c r="W549" s="2"/>
      <c r="Y549" s="2"/>
      <c r="Z549" s="2"/>
    </row>
    <row r="550" spans="23:26" ht="13" x14ac:dyDescent="0.15">
      <c r="W550" s="2"/>
      <c r="Y550" s="2"/>
      <c r="Z550" s="2"/>
    </row>
    <row r="551" spans="23:26" ht="13" x14ac:dyDescent="0.15">
      <c r="W551" s="2"/>
      <c r="Y551" s="2"/>
      <c r="Z551" s="2"/>
    </row>
    <row r="552" spans="23:26" ht="13" x14ac:dyDescent="0.15">
      <c r="W552" s="2"/>
      <c r="Y552" s="2"/>
      <c r="Z552" s="2"/>
    </row>
    <row r="553" spans="23:26" ht="13" x14ac:dyDescent="0.15">
      <c r="W553" s="2"/>
      <c r="Y553" s="2"/>
      <c r="Z553" s="2"/>
    </row>
    <row r="554" spans="23:26" ht="13" x14ac:dyDescent="0.15">
      <c r="W554" s="2"/>
      <c r="Y554" s="2"/>
      <c r="Z554" s="2"/>
    </row>
    <row r="555" spans="23:26" ht="13" x14ac:dyDescent="0.15">
      <c r="W555" s="2"/>
      <c r="Y555" s="2"/>
      <c r="Z555" s="2"/>
    </row>
    <row r="556" spans="23:26" ht="13" x14ac:dyDescent="0.15">
      <c r="W556" s="2"/>
      <c r="Y556" s="2"/>
      <c r="Z556" s="2"/>
    </row>
    <row r="557" spans="23:26" ht="13" x14ac:dyDescent="0.15">
      <c r="W557" s="2"/>
      <c r="Y557" s="2"/>
      <c r="Z557" s="2"/>
    </row>
    <row r="558" spans="23:26" ht="13" x14ac:dyDescent="0.15">
      <c r="W558" s="2"/>
      <c r="Y558" s="2"/>
      <c r="Z558" s="2"/>
    </row>
    <row r="559" spans="23:26" ht="13" x14ac:dyDescent="0.15">
      <c r="W559" s="2"/>
      <c r="Y559" s="2"/>
      <c r="Z559" s="2"/>
    </row>
    <row r="560" spans="23:26" ht="13" x14ac:dyDescent="0.15">
      <c r="W560" s="2"/>
      <c r="Y560" s="2"/>
      <c r="Z560" s="2"/>
    </row>
    <row r="561" spans="23:26" ht="13" x14ac:dyDescent="0.15">
      <c r="W561" s="2"/>
      <c r="Y561" s="2"/>
      <c r="Z561" s="2"/>
    </row>
    <row r="562" spans="23:26" ht="13" x14ac:dyDescent="0.15">
      <c r="W562" s="2"/>
      <c r="Y562" s="2"/>
      <c r="Z562" s="2"/>
    </row>
    <row r="563" spans="23:26" ht="13" x14ac:dyDescent="0.15">
      <c r="W563" s="2"/>
      <c r="Y563" s="2"/>
      <c r="Z563" s="2"/>
    </row>
    <row r="564" spans="23:26" ht="13" x14ac:dyDescent="0.15">
      <c r="W564" s="2"/>
      <c r="Y564" s="2"/>
      <c r="Z564" s="2"/>
    </row>
    <row r="565" spans="23:26" ht="13" x14ac:dyDescent="0.15">
      <c r="W565" s="2"/>
      <c r="Y565" s="2"/>
      <c r="Z565" s="2"/>
    </row>
    <row r="566" spans="23:26" ht="13" x14ac:dyDescent="0.15">
      <c r="W566" s="2"/>
      <c r="Y566" s="2"/>
      <c r="Z566" s="2"/>
    </row>
    <row r="567" spans="23:26" ht="13" x14ac:dyDescent="0.15">
      <c r="W567" s="2"/>
      <c r="Y567" s="2"/>
      <c r="Z567" s="2"/>
    </row>
    <row r="568" spans="23:26" ht="13" x14ac:dyDescent="0.15">
      <c r="W568" s="2"/>
      <c r="Y568" s="2"/>
      <c r="Z568" s="2"/>
    </row>
    <row r="569" spans="23:26" ht="13" x14ac:dyDescent="0.15">
      <c r="W569" s="2"/>
      <c r="Y569" s="2"/>
      <c r="Z569" s="2"/>
    </row>
    <row r="570" spans="23:26" ht="13" x14ac:dyDescent="0.15">
      <c r="W570" s="2"/>
      <c r="Y570" s="2"/>
      <c r="Z570" s="2"/>
    </row>
    <row r="571" spans="23:26" ht="13" x14ac:dyDescent="0.15">
      <c r="W571" s="2"/>
      <c r="Y571" s="2"/>
      <c r="Z571" s="2"/>
    </row>
    <row r="572" spans="23:26" ht="13" x14ac:dyDescent="0.15">
      <c r="W572" s="2"/>
      <c r="Y572" s="2"/>
      <c r="Z572" s="2"/>
    </row>
    <row r="573" spans="23:26" ht="13" x14ac:dyDescent="0.15">
      <c r="W573" s="2"/>
      <c r="Y573" s="2"/>
      <c r="Z573" s="2"/>
    </row>
    <row r="574" spans="23:26" ht="13" x14ac:dyDescent="0.15">
      <c r="W574" s="2"/>
      <c r="Y574" s="2"/>
      <c r="Z574" s="2"/>
    </row>
    <row r="575" spans="23:26" ht="13" x14ac:dyDescent="0.15">
      <c r="W575" s="2"/>
      <c r="Y575" s="2"/>
      <c r="Z575" s="2"/>
    </row>
    <row r="576" spans="23:26" ht="13" x14ac:dyDescent="0.15">
      <c r="W576" s="2"/>
      <c r="Y576" s="2"/>
      <c r="Z576" s="2"/>
    </row>
    <row r="577" spans="23:26" ht="13" x14ac:dyDescent="0.15">
      <c r="W577" s="2"/>
      <c r="Y577" s="2"/>
      <c r="Z577" s="2"/>
    </row>
    <row r="578" spans="23:26" ht="13" x14ac:dyDescent="0.15">
      <c r="W578" s="2"/>
      <c r="Y578" s="2"/>
      <c r="Z578" s="2"/>
    </row>
    <row r="579" spans="23:26" ht="13" x14ac:dyDescent="0.15">
      <c r="W579" s="2"/>
      <c r="Y579" s="2"/>
      <c r="Z579" s="2"/>
    </row>
    <row r="580" spans="23:26" ht="13" x14ac:dyDescent="0.15">
      <c r="W580" s="2"/>
      <c r="Y580" s="2"/>
      <c r="Z580" s="2"/>
    </row>
    <row r="581" spans="23:26" ht="13" x14ac:dyDescent="0.15">
      <c r="W581" s="2"/>
      <c r="Y581" s="2"/>
      <c r="Z581" s="2"/>
    </row>
    <row r="582" spans="23:26" ht="13" x14ac:dyDescent="0.15">
      <c r="W582" s="2"/>
      <c r="Y582" s="2"/>
      <c r="Z582" s="2"/>
    </row>
    <row r="583" spans="23:26" ht="13" x14ac:dyDescent="0.15">
      <c r="W583" s="2"/>
      <c r="Y583" s="2"/>
      <c r="Z583" s="2"/>
    </row>
    <row r="584" spans="23:26" ht="13" x14ac:dyDescent="0.15">
      <c r="W584" s="2"/>
      <c r="Y584" s="2"/>
      <c r="Z584" s="2"/>
    </row>
    <row r="585" spans="23:26" ht="13" x14ac:dyDescent="0.15">
      <c r="W585" s="2"/>
      <c r="Y585" s="2"/>
      <c r="Z585" s="2"/>
    </row>
    <row r="586" spans="23:26" ht="13" x14ac:dyDescent="0.15">
      <c r="W586" s="2"/>
      <c r="Y586" s="2"/>
      <c r="Z586" s="2"/>
    </row>
    <row r="587" spans="23:26" ht="13" x14ac:dyDescent="0.15">
      <c r="W587" s="2"/>
      <c r="Y587" s="2"/>
      <c r="Z587" s="2"/>
    </row>
    <row r="588" spans="23:26" ht="13" x14ac:dyDescent="0.15">
      <c r="W588" s="2"/>
      <c r="Y588" s="2"/>
      <c r="Z588" s="2"/>
    </row>
    <row r="589" spans="23:26" ht="13" x14ac:dyDescent="0.15">
      <c r="W589" s="2"/>
      <c r="Y589" s="2"/>
      <c r="Z589" s="2"/>
    </row>
    <row r="590" spans="23:26" ht="13" x14ac:dyDescent="0.15">
      <c r="W590" s="2"/>
      <c r="Y590" s="2"/>
      <c r="Z590" s="2"/>
    </row>
    <row r="591" spans="23:26" ht="13" x14ac:dyDescent="0.15">
      <c r="W591" s="2"/>
      <c r="Y591" s="2"/>
      <c r="Z591" s="2"/>
    </row>
    <row r="592" spans="23:26" ht="13" x14ac:dyDescent="0.15">
      <c r="W592" s="2"/>
      <c r="Y592" s="2"/>
      <c r="Z592" s="2"/>
    </row>
    <row r="593" spans="23:26" ht="13" x14ac:dyDescent="0.15">
      <c r="W593" s="2"/>
      <c r="Y593" s="2"/>
      <c r="Z593" s="2"/>
    </row>
    <row r="594" spans="23:26" ht="13" x14ac:dyDescent="0.15">
      <c r="W594" s="2"/>
      <c r="Y594" s="2"/>
      <c r="Z594" s="2"/>
    </row>
    <row r="595" spans="23:26" ht="13" x14ac:dyDescent="0.15">
      <c r="W595" s="2"/>
      <c r="Y595" s="2"/>
      <c r="Z595" s="2"/>
    </row>
    <row r="596" spans="23:26" ht="13" x14ac:dyDescent="0.15">
      <c r="W596" s="2"/>
      <c r="Y596" s="2"/>
      <c r="Z596" s="2"/>
    </row>
    <row r="597" spans="23:26" ht="13" x14ac:dyDescent="0.15">
      <c r="W597" s="2"/>
      <c r="Y597" s="2"/>
      <c r="Z597" s="2"/>
    </row>
    <row r="598" spans="23:26" ht="13" x14ac:dyDescent="0.15">
      <c r="W598" s="2"/>
      <c r="Y598" s="2"/>
      <c r="Z598" s="2"/>
    </row>
    <row r="599" spans="23:26" ht="13" x14ac:dyDescent="0.15">
      <c r="W599" s="2"/>
      <c r="Y599" s="2"/>
      <c r="Z599" s="2"/>
    </row>
    <row r="600" spans="23:26" ht="13" x14ac:dyDescent="0.15">
      <c r="W600" s="2"/>
      <c r="Y600" s="2"/>
      <c r="Z600" s="2"/>
    </row>
    <row r="601" spans="23:26" ht="13" x14ac:dyDescent="0.15">
      <c r="W601" s="2"/>
      <c r="Y601" s="2"/>
      <c r="Z601" s="2"/>
    </row>
    <row r="602" spans="23:26" ht="13" x14ac:dyDescent="0.15">
      <c r="W602" s="2"/>
      <c r="Y602" s="2"/>
      <c r="Z602" s="2"/>
    </row>
    <row r="603" spans="23:26" ht="13" x14ac:dyDescent="0.15">
      <c r="W603" s="2"/>
      <c r="Y603" s="2"/>
      <c r="Z603" s="2"/>
    </row>
    <row r="604" spans="23:26" ht="13" x14ac:dyDescent="0.15">
      <c r="W604" s="2"/>
      <c r="Y604" s="2"/>
      <c r="Z604" s="2"/>
    </row>
    <row r="605" spans="23:26" ht="13" x14ac:dyDescent="0.15">
      <c r="W605" s="2"/>
      <c r="Y605" s="2"/>
      <c r="Z605" s="2"/>
    </row>
    <row r="606" spans="23:26" ht="13" x14ac:dyDescent="0.15">
      <c r="W606" s="2"/>
      <c r="Y606" s="2"/>
      <c r="Z606" s="2"/>
    </row>
    <row r="607" spans="23:26" ht="13" x14ac:dyDescent="0.15">
      <c r="W607" s="2"/>
      <c r="Y607" s="2"/>
      <c r="Z607" s="2"/>
    </row>
    <row r="608" spans="23:26" ht="13" x14ac:dyDescent="0.15">
      <c r="W608" s="2"/>
      <c r="Y608" s="2"/>
      <c r="Z608" s="2"/>
    </row>
    <row r="609" spans="23:26" ht="13" x14ac:dyDescent="0.15">
      <c r="W609" s="2"/>
      <c r="Y609" s="2"/>
      <c r="Z609" s="2"/>
    </row>
    <row r="610" spans="23:26" ht="13" x14ac:dyDescent="0.15">
      <c r="W610" s="2"/>
      <c r="Y610" s="2"/>
      <c r="Z610" s="2"/>
    </row>
    <row r="611" spans="23:26" ht="13" x14ac:dyDescent="0.15">
      <c r="W611" s="2"/>
      <c r="Y611" s="2"/>
      <c r="Z611" s="2"/>
    </row>
    <row r="612" spans="23:26" ht="13" x14ac:dyDescent="0.15">
      <c r="W612" s="2"/>
      <c r="Y612" s="2"/>
      <c r="Z612" s="2"/>
    </row>
    <row r="613" spans="23:26" ht="13" x14ac:dyDescent="0.15">
      <c r="W613" s="2"/>
      <c r="Y613" s="2"/>
      <c r="Z613" s="2"/>
    </row>
    <row r="614" spans="23:26" ht="13" x14ac:dyDescent="0.15">
      <c r="W614" s="2"/>
      <c r="Y614" s="2"/>
      <c r="Z614" s="2"/>
    </row>
    <row r="615" spans="23:26" ht="13" x14ac:dyDescent="0.15">
      <c r="W615" s="2"/>
      <c r="Y615" s="2"/>
      <c r="Z615" s="2"/>
    </row>
    <row r="616" spans="23:26" ht="13" x14ac:dyDescent="0.15">
      <c r="W616" s="2"/>
      <c r="Y616" s="2"/>
      <c r="Z616" s="2"/>
    </row>
    <row r="617" spans="23:26" ht="13" x14ac:dyDescent="0.15">
      <c r="W617" s="2"/>
      <c r="Y617" s="2"/>
      <c r="Z617" s="2"/>
    </row>
    <row r="618" spans="23:26" ht="13" x14ac:dyDescent="0.15">
      <c r="W618" s="2"/>
      <c r="Y618" s="2"/>
      <c r="Z618" s="2"/>
    </row>
    <row r="619" spans="23:26" ht="13" x14ac:dyDescent="0.15">
      <c r="W619" s="2"/>
      <c r="Y619" s="2"/>
      <c r="Z619" s="2"/>
    </row>
    <row r="620" spans="23:26" ht="13" x14ac:dyDescent="0.15">
      <c r="W620" s="2"/>
      <c r="Y620" s="2"/>
      <c r="Z620" s="2"/>
    </row>
    <row r="621" spans="23:26" ht="13" x14ac:dyDescent="0.15">
      <c r="W621" s="2"/>
      <c r="Y621" s="2"/>
      <c r="Z621" s="2"/>
    </row>
    <row r="622" spans="23:26" ht="13" x14ac:dyDescent="0.15">
      <c r="W622" s="2"/>
      <c r="Y622" s="2"/>
      <c r="Z622" s="2"/>
    </row>
    <row r="623" spans="23:26" ht="13" x14ac:dyDescent="0.15">
      <c r="W623" s="2"/>
      <c r="Y623" s="2"/>
      <c r="Z623" s="2"/>
    </row>
    <row r="624" spans="23:26" ht="13" x14ac:dyDescent="0.15">
      <c r="W624" s="2"/>
      <c r="Y624" s="2"/>
      <c r="Z624" s="2"/>
    </row>
    <row r="625" spans="23:26" ht="13" x14ac:dyDescent="0.15">
      <c r="W625" s="2"/>
      <c r="Y625" s="2"/>
      <c r="Z625" s="2"/>
    </row>
    <row r="626" spans="23:26" ht="13" x14ac:dyDescent="0.15">
      <c r="W626" s="2"/>
      <c r="Y626" s="2"/>
      <c r="Z626" s="2"/>
    </row>
    <row r="627" spans="23:26" ht="13" x14ac:dyDescent="0.15">
      <c r="W627" s="2"/>
      <c r="Y627" s="2"/>
      <c r="Z627" s="2"/>
    </row>
    <row r="628" spans="23:26" ht="13" x14ac:dyDescent="0.15">
      <c r="W628" s="2"/>
      <c r="Y628" s="2"/>
      <c r="Z628" s="2"/>
    </row>
    <row r="629" spans="23:26" ht="13" x14ac:dyDescent="0.15">
      <c r="W629" s="2"/>
      <c r="Y629" s="2"/>
      <c r="Z629" s="2"/>
    </row>
    <row r="630" spans="23:26" ht="13" x14ac:dyDescent="0.15">
      <c r="W630" s="2"/>
      <c r="Y630" s="2"/>
      <c r="Z630" s="2"/>
    </row>
    <row r="631" spans="23:26" ht="13" x14ac:dyDescent="0.15">
      <c r="W631" s="2"/>
      <c r="Y631" s="2"/>
      <c r="Z631" s="2"/>
    </row>
    <row r="632" spans="23:26" ht="13" x14ac:dyDescent="0.15">
      <c r="W632" s="2"/>
      <c r="Y632" s="2"/>
      <c r="Z632" s="2"/>
    </row>
    <row r="633" spans="23:26" ht="13" x14ac:dyDescent="0.15">
      <c r="W633" s="2"/>
      <c r="Y633" s="2"/>
      <c r="Z633" s="2"/>
    </row>
    <row r="634" spans="23:26" ht="13" x14ac:dyDescent="0.15">
      <c r="W634" s="2"/>
      <c r="Y634" s="2"/>
      <c r="Z634" s="2"/>
    </row>
    <row r="635" spans="23:26" ht="13" x14ac:dyDescent="0.15">
      <c r="W635" s="2"/>
      <c r="Y635" s="2"/>
      <c r="Z635" s="2"/>
    </row>
    <row r="636" spans="23:26" ht="13" x14ac:dyDescent="0.15">
      <c r="W636" s="2"/>
      <c r="Y636" s="2"/>
      <c r="Z636" s="2"/>
    </row>
    <row r="637" spans="23:26" ht="13" x14ac:dyDescent="0.15">
      <c r="W637" s="2"/>
      <c r="Y637" s="2"/>
      <c r="Z637" s="2"/>
    </row>
    <row r="638" spans="23:26" ht="13" x14ac:dyDescent="0.15">
      <c r="W638" s="2"/>
      <c r="Y638" s="2"/>
      <c r="Z638" s="2"/>
    </row>
    <row r="639" spans="23:26" ht="13" x14ac:dyDescent="0.15">
      <c r="W639" s="2"/>
      <c r="Y639" s="2"/>
      <c r="Z639" s="2"/>
    </row>
    <row r="640" spans="23:26" ht="13" x14ac:dyDescent="0.15">
      <c r="W640" s="2"/>
      <c r="Y640" s="2"/>
      <c r="Z640" s="2"/>
    </row>
    <row r="641" spans="23:26" ht="13" x14ac:dyDescent="0.15">
      <c r="W641" s="2"/>
      <c r="Y641" s="2"/>
      <c r="Z641" s="2"/>
    </row>
    <row r="642" spans="23:26" ht="13" x14ac:dyDescent="0.15">
      <c r="W642" s="2"/>
      <c r="Y642" s="2"/>
      <c r="Z642" s="2"/>
    </row>
    <row r="643" spans="23:26" ht="13" x14ac:dyDescent="0.15">
      <c r="W643" s="2"/>
      <c r="Y643" s="2"/>
      <c r="Z643" s="2"/>
    </row>
    <row r="644" spans="23:26" ht="13" x14ac:dyDescent="0.15">
      <c r="W644" s="2"/>
      <c r="Y644" s="2"/>
      <c r="Z644" s="2"/>
    </row>
    <row r="645" spans="23:26" ht="13" x14ac:dyDescent="0.15">
      <c r="W645" s="2"/>
      <c r="Y645" s="2"/>
      <c r="Z645" s="2"/>
    </row>
    <row r="646" spans="23:26" ht="13" x14ac:dyDescent="0.15">
      <c r="W646" s="2"/>
      <c r="Y646" s="2"/>
      <c r="Z646" s="2"/>
    </row>
    <row r="647" spans="23:26" ht="13" x14ac:dyDescent="0.15">
      <c r="W647" s="2"/>
      <c r="Y647" s="2"/>
      <c r="Z647" s="2"/>
    </row>
    <row r="648" spans="23:26" ht="13" x14ac:dyDescent="0.15">
      <c r="W648" s="2"/>
      <c r="Y648" s="2"/>
      <c r="Z648" s="2"/>
    </row>
    <row r="649" spans="23:26" ht="13" x14ac:dyDescent="0.15">
      <c r="W649" s="2"/>
      <c r="Y649" s="2"/>
      <c r="Z649" s="2"/>
    </row>
    <row r="650" spans="23:26" ht="13" x14ac:dyDescent="0.15">
      <c r="W650" s="2"/>
      <c r="Y650" s="2"/>
      <c r="Z650" s="2"/>
    </row>
    <row r="651" spans="23:26" ht="13" x14ac:dyDescent="0.15">
      <c r="W651" s="2"/>
      <c r="Y651" s="2"/>
      <c r="Z651" s="2"/>
    </row>
    <row r="652" spans="23:26" ht="13" x14ac:dyDescent="0.15">
      <c r="W652" s="2"/>
      <c r="Y652" s="2"/>
      <c r="Z652" s="2"/>
    </row>
    <row r="653" spans="23:26" ht="13" x14ac:dyDescent="0.15">
      <c r="W653" s="2"/>
      <c r="Y653" s="2"/>
      <c r="Z653" s="2"/>
    </row>
    <row r="654" spans="23:26" ht="13" x14ac:dyDescent="0.15">
      <c r="W654" s="2"/>
      <c r="Y654" s="2"/>
      <c r="Z654" s="2"/>
    </row>
    <row r="655" spans="23:26" ht="13" x14ac:dyDescent="0.15">
      <c r="W655" s="2"/>
      <c r="Y655" s="2"/>
      <c r="Z655" s="2"/>
    </row>
    <row r="656" spans="23:26" ht="13" x14ac:dyDescent="0.15">
      <c r="W656" s="2"/>
      <c r="Y656" s="2"/>
      <c r="Z656" s="2"/>
    </row>
    <row r="657" spans="23:26" ht="13" x14ac:dyDescent="0.15">
      <c r="W657" s="2"/>
      <c r="Y657" s="2"/>
      <c r="Z657" s="2"/>
    </row>
    <row r="658" spans="23:26" ht="13" x14ac:dyDescent="0.15">
      <c r="W658" s="2"/>
      <c r="Y658" s="2"/>
      <c r="Z658" s="2"/>
    </row>
    <row r="659" spans="23:26" ht="13" x14ac:dyDescent="0.15">
      <c r="W659" s="2"/>
      <c r="Y659" s="2"/>
      <c r="Z659" s="2"/>
    </row>
    <row r="660" spans="23:26" ht="13" x14ac:dyDescent="0.15">
      <c r="W660" s="2"/>
      <c r="Y660" s="2"/>
      <c r="Z660" s="2"/>
    </row>
    <row r="661" spans="23:26" ht="13" x14ac:dyDescent="0.15">
      <c r="W661" s="2"/>
      <c r="Y661" s="2"/>
      <c r="Z661" s="2"/>
    </row>
    <row r="662" spans="23:26" ht="13" x14ac:dyDescent="0.15">
      <c r="W662" s="2"/>
      <c r="Y662" s="2"/>
      <c r="Z662" s="2"/>
    </row>
    <row r="663" spans="23:26" ht="13" x14ac:dyDescent="0.15">
      <c r="W663" s="2"/>
      <c r="Y663" s="2"/>
      <c r="Z663" s="2"/>
    </row>
    <row r="664" spans="23:26" ht="13" x14ac:dyDescent="0.15">
      <c r="W664" s="2"/>
      <c r="Y664" s="2"/>
      <c r="Z664" s="2"/>
    </row>
    <row r="665" spans="23:26" ht="13" x14ac:dyDescent="0.15">
      <c r="W665" s="2"/>
      <c r="Y665" s="2"/>
      <c r="Z665" s="2"/>
    </row>
    <row r="666" spans="23:26" ht="13" x14ac:dyDescent="0.15">
      <c r="W666" s="2"/>
      <c r="Y666" s="2"/>
      <c r="Z666" s="2"/>
    </row>
    <row r="667" spans="23:26" ht="13" x14ac:dyDescent="0.15">
      <c r="W667" s="2"/>
      <c r="Y667" s="2"/>
      <c r="Z667" s="2"/>
    </row>
    <row r="668" spans="23:26" ht="13" x14ac:dyDescent="0.15">
      <c r="W668" s="2"/>
      <c r="Y668" s="2"/>
      <c r="Z668" s="2"/>
    </row>
    <row r="669" spans="23:26" ht="13" x14ac:dyDescent="0.15">
      <c r="W669" s="2"/>
      <c r="Y669" s="2"/>
      <c r="Z669" s="2"/>
    </row>
    <row r="670" spans="23:26" ht="13" x14ac:dyDescent="0.15">
      <c r="W670" s="2"/>
      <c r="Y670" s="2"/>
      <c r="Z670" s="2"/>
    </row>
    <row r="671" spans="23:26" ht="13" x14ac:dyDescent="0.15">
      <c r="W671" s="2"/>
      <c r="Y671" s="2"/>
      <c r="Z671" s="2"/>
    </row>
    <row r="672" spans="23:26" ht="13" x14ac:dyDescent="0.15">
      <c r="W672" s="2"/>
      <c r="Y672" s="2"/>
      <c r="Z672" s="2"/>
    </row>
    <row r="673" spans="23:26" ht="13" x14ac:dyDescent="0.15">
      <c r="W673" s="2"/>
      <c r="Y673" s="2"/>
      <c r="Z673" s="2"/>
    </row>
    <row r="674" spans="23:26" ht="13" x14ac:dyDescent="0.15">
      <c r="W674" s="2"/>
      <c r="Y674" s="2"/>
      <c r="Z674" s="2"/>
    </row>
    <row r="675" spans="23:26" ht="13" x14ac:dyDescent="0.15">
      <c r="W675" s="2"/>
      <c r="Y675" s="2"/>
      <c r="Z675" s="2"/>
    </row>
    <row r="676" spans="23:26" ht="13" x14ac:dyDescent="0.15">
      <c r="W676" s="2"/>
      <c r="Y676" s="2"/>
      <c r="Z676" s="2"/>
    </row>
    <row r="677" spans="23:26" ht="13" x14ac:dyDescent="0.15">
      <c r="W677" s="2"/>
      <c r="Y677" s="2"/>
      <c r="Z677" s="2"/>
    </row>
    <row r="678" spans="23:26" ht="13" x14ac:dyDescent="0.15">
      <c r="W678" s="2"/>
      <c r="Y678" s="2"/>
      <c r="Z678" s="2"/>
    </row>
    <row r="679" spans="23:26" ht="13" x14ac:dyDescent="0.15">
      <c r="W679" s="2"/>
      <c r="Y679" s="2"/>
      <c r="Z679" s="2"/>
    </row>
    <row r="680" spans="23:26" ht="13" x14ac:dyDescent="0.15">
      <c r="W680" s="2"/>
      <c r="Y680" s="2"/>
      <c r="Z680" s="2"/>
    </row>
    <row r="681" spans="23:26" ht="13" x14ac:dyDescent="0.15">
      <c r="W681" s="2"/>
      <c r="Y681" s="2"/>
      <c r="Z681" s="2"/>
    </row>
    <row r="682" spans="23:26" ht="13" x14ac:dyDescent="0.15">
      <c r="W682" s="2"/>
      <c r="Y682" s="2"/>
      <c r="Z682" s="2"/>
    </row>
    <row r="683" spans="23:26" ht="13" x14ac:dyDescent="0.15">
      <c r="W683" s="2"/>
      <c r="Y683" s="2"/>
      <c r="Z683" s="2"/>
    </row>
    <row r="684" spans="23:26" ht="13" x14ac:dyDescent="0.15">
      <c r="W684" s="2"/>
      <c r="Y684" s="2"/>
      <c r="Z684" s="2"/>
    </row>
    <row r="685" spans="23:26" ht="13" x14ac:dyDescent="0.15">
      <c r="W685" s="2"/>
      <c r="Y685" s="2"/>
      <c r="Z685" s="2"/>
    </row>
    <row r="686" spans="23:26" ht="13" x14ac:dyDescent="0.15">
      <c r="W686" s="2"/>
      <c r="Y686" s="2"/>
      <c r="Z686" s="2"/>
    </row>
    <row r="687" spans="23:26" ht="13" x14ac:dyDescent="0.15">
      <c r="W687" s="2"/>
      <c r="Y687" s="2"/>
      <c r="Z687" s="2"/>
    </row>
    <row r="688" spans="23:26" ht="13" x14ac:dyDescent="0.15">
      <c r="W688" s="2"/>
      <c r="Y688" s="2"/>
      <c r="Z688" s="2"/>
    </row>
    <row r="689" spans="23:26" ht="13" x14ac:dyDescent="0.15">
      <c r="W689" s="2"/>
      <c r="Y689" s="2"/>
      <c r="Z689" s="2"/>
    </row>
    <row r="690" spans="23:26" ht="13" x14ac:dyDescent="0.15">
      <c r="W690" s="2"/>
      <c r="Y690" s="2"/>
      <c r="Z690" s="2"/>
    </row>
    <row r="691" spans="23:26" ht="13" x14ac:dyDescent="0.15">
      <c r="W691" s="2"/>
      <c r="Y691" s="2"/>
      <c r="Z691" s="2"/>
    </row>
    <row r="692" spans="23:26" ht="13" x14ac:dyDescent="0.15">
      <c r="W692" s="2"/>
      <c r="Y692" s="2"/>
      <c r="Z692" s="2"/>
    </row>
    <row r="693" spans="23:26" ht="13" x14ac:dyDescent="0.15">
      <c r="W693" s="2"/>
      <c r="Y693" s="2"/>
      <c r="Z693" s="2"/>
    </row>
    <row r="694" spans="23:26" ht="13" x14ac:dyDescent="0.15">
      <c r="W694" s="2"/>
      <c r="Y694" s="2"/>
      <c r="Z694" s="2"/>
    </row>
    <row r="695" spans="23:26" ht="13" x14ac:dyDescent="0.15">
      <c r="W695" s="2"/>
      <c r="Y695" s="2"/>
      <c r="Z695" s="2"/>
    </row>
    <row r="696" spans="23:26" ht="13" x14ac:dyDescent="0.15">
      <c r="W696" s="2"/>
      <c r="Y696" s="2"/>
      <c r="Z696" s="2"/>
    </row>
    <row r="697" spans="23:26" ht="13" x14ac:dyDescent="0.15">
      <c r="W697" s="2"/>
      <c r="Y697" s="2"/>
      <c r="Z697" s="2"/>
    </row>
    <row r="698" spans="23:26" ht="13" x14ac:dyDescent="0.15">
      <c r="W698" s="2"/>
      <c r="Y698" s="2"/>
      <c r="Z698" s="2"/>
    </row>
    <row r="699" spans="23:26" ht="13" x14ac:dyDescent="0.15">
      <c r="W699" s="2"/>
      <c r="Y699" s="2"/>
      <c r="Z699" s="2"/>
    </row>
    <row r="700" spans="23:26" ht="13" x14ac:dyDescent="0.15">
      <c r="W700" s="2"/>
      <c r="Y700" s="2"/>
      <c r="Z700" s="2"/>
    </row>
    <row r="701" spans="23:26" ht="13" x14ac:dyDescent="0.15">
      <c r="W701" s="2"/>
      <c r="Y701" s="2"/>
      <c r="Z701" s="2"/>
    </row>
    <row r="702" spans="23:26" ht="13" x14ac:dyDescent="0.15">
      <c r="W702" s="2"/>
      <c r="Y702" s="2"/>
      <c r="Z702" s="2"/>
    </row>
    <row r="703" spans="23:26" ht="13" x14ac:dyDescent="0.15">
      <c r="W703" s="2"/>
      <c r="Y703" s="2"/>
      <c r="Z703" s="2"/>
    </row>
    <row r="704" spans="23:26" ht="13" x14ac:dyDescent="0.15">
      <c r="W704" s="2"/>
      <c r="Y704" s="2"/>
      <c r="Z704" s="2"/>
    </row>
    <row r="705" spans="23:26" ht="13" x14ac:dyDescent="0.15">
      <c r="W705" s="2"/>
      <c r="Y705" s="2"/>
      <c r="Z705" s="2"/>
    </row>
    <row r="706" spans="23:26" ht="13" x14ac:dyDescent="0.15">
      <c r="W706" s="2"/>
      <c r="Y706" s="2"/>
      <c r="Z706" s="2"/>
    </row>
    <row r="707" spans="23:26" ht="13" x14ac:dyDescent="0.15">
      <c r="W707" s="2"/>
      <c r="Y707" s="2"/>
      <c r="Z707" s="2"/>
    </row>
    <row r="708" spans="23:26" ht="13" x14ac:dyDescent="0.15">
      <c r="W708" s="2"/>
      <c r="Y708" s="2"/>
      <c r="Z708" s="2"/>
    </row>
    <row r="709" spans="23:26" ht="13" x14ac:dyDescent="0.15">
      <c r="W709" s="2"/>
      <c r="Y709" s="2"/>
      <c r="Z709" s="2"/>
    </row>
    <row r="710" spans="23:26" ht="13" x14ac:dyDescent="0.15">
      <c r="W710" s="2"/>
      <c r="Y710" s="2"/>
      <c r="Z710" s="2"/>
    </row>
    <row r="711" spans="23:26" ht="13" x14ac:dyDescent="0.15">
      <c r="W711" s="2"/>
      <c r="Y711" s="2"/>
      <c r="Z711" s="2"/>
    </row>
    <row r="712" spans="23:26" ht="13" x14ac:dyDescent="0.15">
      <c r="W712" s="2"/>
      <c r="Y712" s="2"/>
      <c r="Z712" s="2"/>
    </row>
    <row r="713" spans="23:26" ht="13" x14ac:dyDescent="0.15">
      <c r="W713" s="2"/>
      <c r="Y713" s="2"/>
      <c r="Z713" s="2"/>
    </row>
    <row r="714" spans="23:26" ht="13" x14ac:dyDescent="0.15">
      <c r="W714" s="2"/>
      <c r="Y714" s="2"/>
      <c r="Z714" s="2"/>
    </row>
    <row r="715" spans="23:26" ht="13" x14ac:dyDescent="0.15">
      <c r="W715" s="2"/>
      <c r="Y715" s="2"/>
      <c r="Z715" s="2"/>
    </row>
    <row r="716" spans="23:26" ht="13" x14ac:dyDescent="0.15">
      <c r="W716" s="2"/>
      <c r="Y716" s="2"/>
      <c r="Z716" s="2"/>
    </row>
    <row r="717" spans="23:26" ht="13" x14ac:dyDescent="0.15">
      <c r="W717" s="2"/>
      <c r="Y717" s="2"/>
      <c r="Z717" s="2"/>
    </row>
    <row r="718" spans="23:26" ht="13" x14ac:dyDescent="0.15">
      <c r="W718" s="2"/>
      <c r="Y718" s="2"/>
      <c r="Z718" s="2"/>
    </row>
    <row r="719" spans="23:26" ht="13" x14ac:dyDescent="0.15">
      <c r="W719" s="2"/>
      <c r="Y719" s="2"/>
      <c r="Z719" s="2"/>
    </row>
    <row r="720" spans="23:26" ht="13" x14ac:dyDescent="0.15">
      <c r="W720" s="2"/>
      <c r="Y720" s="2"/>
      <c r="Z720" s="2"/>
    </row>
    <row r="721" spans="23:26" ht="13" x14ac:dyDescent="0.15">
      <c r="W721" s="2"/>
      <c r="Y721" s="2"/>
      <c r="Z721" s="2"/>
    </row>
    <row r="722" spans="23:26" ht="13" x14ac:dyDescent="0.15">
      <c r="W722" s="2"/>
      <c r="Y722" s="2"/>
      <c r="Z722" s="2"/>
    </row>
    <row r="723" spans="23:26" ht="13" x14ac:dyDescent="0.15">
      <c r="W723" s="2"/>
      <c r="Y723" s="2"/>
      <c r="Z723" s="2"/>
    </row>
    <row r="724" spans="23:26" ht="13" x14ac:dyDescent="0.15">
      <c r="W724" s="2"/>
      <c r="Y724" s="2"/>
      <c r="Z724" s="2"/>
    </row>
    <row r="725" spans="23:26" ht="13" x14ac:dyDescent="0.15">
      <c r="W725" s="2"/>
      <c r="Y725" s="2"/>
      <c r="Z725" s="2"/>
    </row>
    <row r="726" spans="23:26" ht="13" x14ac:dyDescent="0.15">
      <c r="W726" s="2"/>
      <c r="Y726" s="2"/>
      <c r="Z726" s="2"/>
    </row>
    <row r="727" spans="23:26" ht="13" x14ac:dyDescent="0.15">
      <c r="W727" s="2"/>
      <c r="Y727" s="2"/>
      <c r="Z727" s="2"/>
    </row>
    <row r="728" spans="23:26" ht="13" x14ac:dyDescent="0.15">
      <c r="W728" s="2"/>
      <c r="Y728" s="2"/>
      <c r="Z728" s="2"/>
    </row>
    <row r="729" spans="23:26" ht="13" x14ac:dyDescent="0.15">
      <c r="W729" s="2"/>
      <c r="Y729" s="2"/>
      <c r="Z729" s="2"/>
    </row>
    <row r="730" spans="23:26" ht="13" x14ac:dyDescent="0.15">
      <c r="W730" s="2"/>
      <c r="Y730" s="2"/>
      <c r="Z730" s="2"/>
    </row>
    <row r="731" spans="23:26" ht="13" x14ac:dyDescent="0.15">
      <c r="W731" s="2"/>
      <c r="Y731" s="2"/>
      <c r="Z731" s="2"/>
    </row>
    <row r="732" spans="23:26" ht="13" x14ac:dyDescent="0.15">
      <c r="W732" s="2"/>
      <c r="Y732" s="2"/>
      <c r="Z732" s="2"/>
    </row>
    <row r="733" spans="23:26" ht="13" x14ac:dyDescent="0.15">
      <c r="W733" s="2"/>
      <c r="Y733" s="2"/>
      <c r="Z733" s="2"/>
    </row>
    <row r="734" spans="23:26" ht="13" x14ac:dyDescent="0.15">
      <c r="W734" s="2"/>
      <c r="Y734" s="2"/>
      <c r="Z734" s="2"/>
    </row>
    <row r="735" spans="23:26" ht="13" x14ac:dyDescent="0.15">
      <c r="W735" s="2"/>
      <c r="Y735" s="2"/>
      <c r="Z735" s="2"/>
    </row>
    <row r="736" spans="23:26" ht="13" x14ac:dyDescent="0.15">
      <c r="W736" s="2"/>
      <c r="Y736" s="2"/>
      <c r="Z736" s="2"/>
    </row>
    <row r="737" spans="23:26" ht="13" x14ac:dyDescent="0.15">
      <c r="W737" s="2"/>
      <c r="Y737" s="2"/>
      <c r="Z737" s="2"/>
    </row>
    <row r="738" spans="23:26" ht="13" x14ac:dyDescent="0.15">
      <c r="W738" s="2"/>
      <c r="Y738" s="2"/>
      <c r="Z738" s="2"/>
    </row>
    <row r="739" spans="23:26" ht="13" x14ac:dyDescent="0.15">
      <c r="W739" s="2"/>
      <c r="Y739" s="2"/>
      <c r="Z739" s="2"/>
    </row>
    <row r="740" spans="23:26" ht="13" x14ac:dyDescent="0.15">
      <c r="W740" s="2"/>
      <c r="Y740" s="2"/>
      <c r="Z740" s="2"/>
    </row>
    <row r="741" spans="23:26" ht="13" x14ac:dyDescent="0.15">
      <c r="W741" s="2"/>
      <c r="Y741" s="2"/>
      <c r="Z741" s="2"/>
    </row>
    <row r="742" spans="23:26" ht="13" x14ac:dyDescent="0.15">
      <c r="W742" s="2"/>
      <c r="Y742" s="2"/>
      <c r="Z742" s="2"/>
    </row>
    <row r="743" spans="23:26" ht="13" x14ac:dyDescent="0.15">
      <c r="W743" s="2"/>
      <c r="Y743" s="2"/>
      <c r="Z743" s="2"/>
    </row>
    <row r="744" spans="23:26" ht="13" x14ac:dyDescent="0.15">
      <c r="W744" s="2"/>
      <c r="Y744" s="2"/>
      <c r="Z744" s="2"/>
    </row>
    <row r="745" spans="23:26" ht="13" x14ac:dyDescent="0.15">
      <c r="W745" s="2"/>
      <c r="Y745" s="2"/>
      <c r="Z745" s="2"/>
    </row>
    <row r="746" spans="23:26" ht="13" x14ac:dyDescent="0.15">
      <c r="W746" s="2"/>
      <c r="Y746" s="2"/>
      <c r="Z746" s="2"/>
    </row>
    <row r="747" spans="23:26" ht="13" x14ac:dyDescent="0.15">
      <c r="W747" s="2"/>
      <c r="Y747" s="2"/>
      <c r="Z747" s="2"/>
    </row>
    <row r="748" spans="23:26" ht="13" x14ac:dyDescent="0.15">
      <c r="W748" s="2"/>
      <c r="Y748" s="2"/>
      <c r="Z748" s="2"/>
    </row>
    <row r="749" spans="23:26" ht="13" x14ac:dyDescent="0.15">
      <c r="W749" s="2"/>
      <c r="Y749" s="2"/>
      <c r="Z749" s="2"/>
    </row>
    <row r="750" spans="23:26" ht="13" x14ac:dyDescent="0.15">
      <c r="W750" s="2"/>
      <c r="Y750" s="2"/>
      <c r="Z750" s="2"/>
    </row>
    <row r="751" spans="23:26" ht="13" x14ac:dyDescent="0.15">
      <c r="W751" s="2"/>
      <c r="Y751" s="2"/>
      <c r="Z751" s="2"/>
    </row>
    <row r="752" spans="23:26" ht="13" x14ac:dyDescent="0.15">
      <c r="W752" s="2"/>
      <c r="Y752" s="2"/>
      <c r="Z752" s="2"/>
    </row>
  </sheetData>
  <phoneticPr fontId="9" type="noConversion"/>
  <hyperlinks>
    <hyperlink ref="Q2" r:id="rId1" location="gid=0" xr:uid="{00000000-0004-0000-0100-000001000000}"/>
    <hyperlink ref="B2" r:id="rId2" location="gid=0" xr:uid="{00000000-0004-0000-0100-000000000000}"/>
  </hyperlinks>
  <pageMargins left="0.7" right="0.7" top="0.75" bottom="0.75" header="0.3" footer="0.3"/>
  <pageSetup paperSize="9" orientation="portrait" horizontalDpi="0" verticalDpi="0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FC관리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Taeyeong Kim</cp:lastModifiedBy>
  <dcterms:modified xsi:type="dcterms:W3CDTF">2026-04-17T00:42:53Z</dcterms:modified>
</cp:coreProperties>
</file>